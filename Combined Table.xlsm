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dityagroup-my.sharepoint.com/personal/23mh1a4249_acoe_edu_in/Documents/"/>
    </mc:Choice>
  </mc:AlternateContent>
  <xr:revisionPtr revIDLastSave="98" documentId="14_{D8D45A1A-463C-43A5-803D-55E842F68EA9}" xr6:coauthVersionLast="47" xr6:coauthVersionMax="47" xr10:uidLastSave="{BE741E39-6613-456F-B581-180A2BDC375B}"/>
  <bookViews>
    <workbookView xWindow="-108" yWindow="-108" windowWidth="23256" windowHeight="13176" xr2:uid="{D9A0461F-AA2A-46CD-A346-F5973E3E82B3}"/>
  </bookViews>
  <sheets>
    <sheet name="Dashboard" sheetId="5" r:id="rId1"/>
    <sheet name="Sheet6" sheetId="8" r:id="rId2"/>
    <sheet name="BlooodRequests" sheetId="3" r:id="rId3"/>
    <sheet name="Contributers" sheetId="1" r:id="rId4"/>
  </sheets>
  <definedNames>
    <definedName name="_xleta.GETPIVOTDATA" hidden="1" xlm="1">#NAME?</definedName>
    <definedName name="ExternalData_1" localSheetId="2" hidden="1">BlooodRequests!$A$1:$J$51</definedName>
    <definedName name="query__2" localSheetId="3" hidden="1">Contributers!$A$1:$H$37</definedName>
  </definedNames>
  <calcPr calcId="191029"/>
  <pivotCaches>
    <pivotCache cacheId="0" r:id="rId5"/>
    <pivotCache cacheId="8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3" i="8" l="1"/>
  <c r="B31" i="8"/>
  <c r="E33" i="8"/>
  <c r="E28" i="8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2" i="3"/>
  <c r="L2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29D9DA0-002C-45A0-B5BF-650DB45A131A}" keepAlive="1" name="Query - BlooodRequests" description="Connection to the 'BlooodRequests' query in the workbook." type="5" refreshedVersion="8" background="1" saveData="1">
    <dbPr connection="Provider=Microsoft.Mashup.OleDb.1;Data Source=$Workbook$;Location=BlooodRequests;Extended Properties=&quot;&quot;" command="SELECT * FROM [BlooodRequests]"/>
  </connection>
  <connection id="2" xr16:uid="{130D387F-6421-4E00-BC40-D41D89294DEB}" odcFile="C:\Users\sarat\Downloads\query (2).iqy" keepAlive="1" name="query (2)" type="5" refreshedVersion="8" minRefreshableVersion="3" saveData="1">
    <dbPr connection="Provider=Microsoft.Office.List.OLEDB.2.0;Data Source=&quot;&quot;;ApplicationName=Excel;Version=12.0.0.0" command="&lt;LIST&gt;&lt;VIEWGUID&gt;32223D75-66F9-424B-86FC-A8D99A5B27F5&lt;/VIEWGUID&gt;&lt;LISTNAME&gt;fd83401f-86ff-4b87-911d-24526c577ea5&lt;/LISTNAME&gt;&lt;LISTWEB&gt;https://adityagroup.sharepoint.com/sites/dummy/_vti_bin&lt;/LISTWEB&gt;&lt;LISTSUBWEB&gt;&lt;/LISTSUBWEB&gt;&lt;ROOTFOLDER&gt;&lt;/ROOTFOLDER&gt;&lt;/LIST&gt;" commandType="5"/>
  </connection>
</connections>
</file>

<file path=xl/sharedStrings.xml><?xml version="1.0" encoding="utf-8"?>
<sst xmlns="http://schemas.openxmlformats.org/spreadsheetml/2006/main" count="679" uniqueCount="357">
  <si>
    <t>Title</t>
  </si>
  <si>
    <t>DonerEmail</t>
  </si>
  <si>
    <t>BloodGroup</t>
  </si>
  <si>
    <t>Phone no.</t>
  </si>
  <si>
    <t>Location</t>
  </si>
  <si>
    <t>Dtailed location</t>
  </si>
  <si>
    <t>Course</t>
  </si>
  <si>
    <t>Academic year</t>
  </si>
  <si>
    <t>sarath Patruni</t>
  </si>
  <si>
    <t>sarathpatruni2@gmail.com</t>
  </si>
  <si>
    <t>AB+</t>
  </si>
  <si>
    <t>Near SamalKot</t>
  </si>
  <si>
    <t>Ramanujan Block</t>
  </si>
  <si>
    <t>BBA</t>
  </si>
  <si>
    <t>Varshini</t>
  </si>
  <si>
    <t>23A91A6153@aec.edu.in</t>
  </si>
  <si>
    <t>B+</t>
  </si>
  <si>
    <t>RTC Complex</t>
  </si>
  <si>
    <t>B-tech</t>
  </si>
  <si>
    <t>Ayush</t>
  </si>
  <si>
    <t>aymasi2004@gmail.com</t>
  </si>
  <si>
    <t>Near Kakinada</t>
  </si>
  <si>
    <t>Near Railway Station</t>
  </si>
  <si>
    <t>MBA</t>
  </si>
  <si>
    <t>kavya sri</t>
  </si>
  <si>
    <t>23mh1a4268@acoe.edu.in</t>
  </si>
  <si>
    <t>Near Yanam</t>
  </si>
  <si>
    <t>Nithin</t>
  </si>
  <si>
    <t>nithinpatnaikuni55@gmail.com</t>
  </si>
  <si>
    <t>B-</t>
  </si>
  <si>
    <t>SRMT</t>
  </si>
  <si>
    <t>MCA</t>
  </si>
  <si>
    <t>Adarsh</t>
  </si>
  <si>
    <t>adarshsah5153@gmail.com</t>
  </si>
  <si>
    <t>M-tech</t>
  </si>
  <si>
    <t>Rahul</t>
  </si>
  <si>
    <t>rahul@gmail.com</t>
  </si>
  <si>
    <t>bala cheruvu</t>
  </si>
  <si>
    <t>Laxmi</t>
  </si>
  <si>
    <t>Laxmi23@gmail.com</t>
  </si>
  <si>
    <t>Beside Main Road</t>
  </si>
  <si>
    <t>Ramesh</t>
  </si>
  <si>
    <t>42ramesh@gmail.com</t>
  </si>
  <si>
    <t>O+</t>
  </si>
  <si>
    <t>Railway Station</t>
  </si>
  <si>
    <t>Ragav</t>
  </si>
  <si>
    <t>ragav@gmail.com</t>
  </si>
  <si>
    <t>Post office</t>
  </si>
  <si>
    <t>Roshini</t>
  </si>
  <si>
    <t>roshini@gmail.com</t>
  </si>
  <si>
    <t>Near Aditya University</t>
  </si>
  <si>
    <t>Ratan TATA Bhavan</t>
  </si>
  <si>
    <t>Rajesh</t>
  </si>
  <si>
    <t>rajeshbuddiga@gmail.com</t>
  </si>
  <si>
    <t>Near Rajahmundry</t>
  </si>
  <si>
    <t>Namavaram</t>
  </si>
  <si>
    <t>Susrutha</t>
  </si>
  <si>
    <t>susrutha@gmail.com</t>
  </si>
  <si>
    <t>Bommuru</t>
  </si>
  <si>
    <t>Ganesh Bhargav Balivada</t>
  </si>
  <si>
    <t>ganeshbhargav@gmail.com</t>
  </si>
  <si>
    <t>Gas Office</t>
  </si>
  <si>
    <t xml:space="preserve">Charan Teja </t>
  </si>
  <si>
    <t>charan@gmail.com</t>
  </si>
  <si>
    <t>viswswaraya bhavan</t>
  </si>
  <si>
    <t>Pujitha Balivada</t>
  </si>
  <si>
    <t>pujithabalivada@gmail.com</t>
  </si>
  <si>
    <t>A-</t>
  </si>
  <si>
    <t>Girls Hostel</t>
  </si>
  <si>
    <t>Sarayu</t>
  </si>
  <si>
    <t>sarayu@gmail.com</t>
  </si>
  <si>
    <t>Nithish</t>
  </si>
  <si>
    <t>nithish@gmail.com</t>
  </si>
  <si>
    <t>back side of RTC Complex</t>
  </si>
  <si>
    <t>Ram Mohan</t>
  </si>
  <si>
    <t>mohan@gmail.com</t>
  </si>
  <si>
    <t>Railway station</t>
  </si>
  <si>
    <t>Suresh Kumar</t>
  </si>
  <si>
    <t>suresh@gmail.com</t>
  </si>
  <si>
    <t>Near Banyan Tree</t>
  </si>
  <si>
    <t>Rama Sekhar</t>
  </si>
  <si>
    <t>sekhar@gmail.com</t>
  </si>
  <si>
    <t>boys Hostel</t>
  </si>
  <si>
    <t>siddardh Baga</t>
  </si>
  <si>
    <t>siddardhbaga@gmail.com</t>
  </si>
  <si>
    <t xml:space="preserve">sri lakshmi Aditya students boys hostel
ADB road,surampalem
SURAMPALEM-533437
KAKINADA
EAST GODAVARI(DIST)
</t>
  </si>
  <si>
    <t>Harshith Panigrahi</t>
  </si>
  <si>
    <t>harshithpanigrahi@gmail.com</t>
  </si>
  <si>
    <t>1-15,sompeta
bs colony ,sompeta
srikakulam dist</t>
  </si>
  <si>
    <t>dinesh</t>
  </si>
  <si>
    <t>dinesh123@gmail.com</t>
  </si>
  <si>
    <t>1-56,gandhinagar street
yanam,andhra pradesh</t>
  </si>
  <si>
    <t>varun</t>
  </si>
  <si>
    <t>varun4567@gmail.com</t>
  </si>
  <si>
    <t>3-45,guram chook street
peddapuram,samalkota
kakinada andhrapradesh</t>
  </si>
  <si>
    <t>sarath</t>
  </si>
  <si>
    <t>sarathpaturni@gmail.com</t>
  </si>
  <si>
    <t>1-34,aditya nagar,
rameshpetta,rajanagram
rajanagaram ,andhra pradesh</t>
  </si>
  <si>
    <t>preetham</t>
  </si>
  <si>
    <t>preetham143@gmail.com</t>
  </si>
  <si>
    <t>3-56,ganesh nagar
peddapuram,
andhra pradesh</t>
  </si>
  <si>
    <t>Harsha vardhan</t>
  </si>
  <si>
    <t>harshapotti@gmail.com</t>
  </si>
  <si>
    <t>1-34,rtc-complex
kakinada dist</t>
  </si>
  <si>
    <t>Dhanumjay</t>
  </si>
  <si>
    <t>dhanu456@gmail.com</t>
  </si>
  <si>
    <t xml:space="preserve">3-65,railwaystation
peddapuram </t>
  </si>
  <si>
    <t>Balu nanda kishore</t>
  </si>
  <si>
    <t>baluyt@gmail.com</t>
  </si>
  <si>
    <t>1-45,aditya nagar
ramesampetta</t>
  </si>
  <si>
    <t>vamsi krishan</t>
  </si>
  <si>
    <t>vamsi98@gmail.com</t>
  </si>
  <si>
    <t>9-34,pattusali veedi
samalkot,andhra pradesh</t>
  </si>
  <si>
    <t>sai ram</t>
  </si>
  <si>
    <t>sairam@gmail.com</t>
  </si>
  <si>
    <t xml:space="preserve">9-23,krishnna nagar
salamalkot,andhra praesh
</t>
  </si>
  <si>
    <t>yogesh</t>
  </si>
  <si>
    <t>yogi@gmail.com</t>
  </si>
  <si>
    <t>2-54,sokullapalem street
suramplaem,andhra pradesh</t>
  </si>
  <si>
    <t>sowmith</t>
  </si>
  <si>
    <t>lucky@gmail.com</t>
  </si>
  <si>
    <t>3-67,siddsai nagar
yanam,andhra pradesh</t>
  </si>
  <si>
    <t>srinadh</t>
  </si>
  <si>
    <t>srinadh@gmail.com</t>
  </si>
  <si>
    <t>2-56,netaji nagar
rameshpeta,andhra pradesh</t>
  </si>
  <si>
    <t>jyoshna</t>
  </si>
  <si>
    <t>23mh1a4206@acoe.edu.in</t>
  </si>
  <si>
    <t>RquesterMail</t>
  </si>
  <si>
    <t>RequestedBloodGroup</t>
  </si>
  <si>
    <t>Status</t>
  </si>
  <si>
    <t>DonorResponse</t>
  </si>
  <si>
    <t>RespondingDonorName</t>
  </si>
  <si>
    <t>RespondingDonorEmail</t>
  </si>
  <si>
    <t>RespondingDonorContact</t>
  </si>
  <si>
    <t>ID.1</t>
  </si>
  <si>
    <t>deepak</t>
  </si>
  <si>
    <t>24maanayush@gmail.com</t>
  </si>
  <si>
    <t>Doner found</t>
  </si>
  <si>
    <t>Available</t>
  </si>
  <si>
    <t>samar</t>
  </si>
  <si>
    <t>kakinada</t>
  </si>
  <si>
    <t>kalyani</t>
  </si>
  <si>
    <t>kalyani@gmail.com</t>
  </si>
  <si>
    <t>No Doner Yet</t>
  </si>
  <si>
    <t>Unavailable</t>
  </si>
  <si>
    <t>keerthi</t>
  </si>
  <si>
    <t>keerthi@gmail.com</t>
  </si>
  <si>
    <t>pedhapuram</t>
  </si>
  <si>
    <t>surekha</t>
  </si>
  <si>
    <t>surekha@gmail.com</t>
  </si>
  <si>
    <t>karthik</t>
  </si>
  <si>
    <t>karthik@gmail.com</t>
  </si>
  <si>
    <t>yanam</t>
  </si>
  <si>
    <t>santhosh</t>
  </si>
  <si>
    <t>santhosh@gmail.com</t>
  </si>
  <si>
    <t>cancelled</t>
  </si>
  <si>
    <t>neha</t>
  </si>
  <si>
    <t>neha@gmail.com</t>
  </si>
  <si>
    <t>surampalem</t>
  </si>
  <si>
    <t>ram</t>
  </si>
  <si>
    <t>ram@gmail.com</t>
  </si>
  <si>
    <t>siri</t>
  </si>
  <si>
    <t>siri@gmail.com</t>
  </si>
  <si>
    <t>samarlakota</t>
  </si>
  <si>
    <t>preethi</t>
  </si>
  <si>
    <t>preethi@gmail.com</t>
  </si>
  <si>
    <t>satya</t>
  </si>
  <si>
    <t>satya@gmail.com</t>
  </si>
  <si>
    <t>pranav</t>
  </si>
  <si>
    <t>pranav@gmail.com</t>
  </si>
  <si>
    <t>kumari</t>
  </si>
  <si>
    <t>kumari@gmail.com</t>
  </si>
  <si>
    <t>pradeep</t>
  </si>
  <si>
    <t>pradeep@gmail.com</t>
  </si>
  <si>
    <t>chandhini</t>
  </si>
  <si>
    <t>chandini@gmail.com</t>
  </si>
  <si>
    <t>uma</t>
  </si>
  <si>
    <t>uma@gmail.com</t>
  </si>
  <si>
    <t>vasavi</t>
  </si>
  <si>
    <t>vasavu@gmail.com</t>
  </si>
  <si>
    <t>sarvani</t>
  </si>
  <si>
    <t>sarvani@gmail.com</t>
  </si>
  <si>
    <t>thanusha</t>
  </si>
  <si>
    <t>thanusa@gmail.com</t>
  </si>
  <si>
    <t>sivakarthik</t>
  </si>
  <si>
    <t>sivakarthik@gmail.com</t>
  </si>
  <si>
    <t>sreya</t>
  </si>
  <si>
    <t>sreya@gmail.com</t>
  </si>
  <si>
    <t>umasenkar</t>
  </si>
  <si>
    <t>umasenkar@gmail.com</t>
  </si>
  <si>
    <t>shenkar</t>
  </si>
  <si>
    <t>shenkar@gmail.com</t>
  </si>
  <si>
    <t>teja</t>
  </si>
  <si>
    <t>teja@gmail.com</t>
  </si>
  <si>
    <t>A+</t>
  </si>
  <si>
    <t>aswini</t>
  </si>
  <si>
    <t>aswini@gmail.com</t>
  </si>
  <si>
    <t>srija</t>
  </si>
  <si>
    <t>srija@gmail.com</t>
  </si>
  <si>
    <t>raji</t>
  </si>
  <si>
    <t>raji@gmail.com</t>
  </si>
  <si>
    <t>gunashekar</t>
  </si>
  <si>
    <t>gunashekar@gmail.com</t>
  </si>
  <si>
    <t>guna</t>
  </si>
  <si>
    <t>guna@gmail.com</t>
  </si>
  <si>
    <t>jyoshna@gmail.com</t>
  </si>
  <si>
    <t>suguna</t>
  </si>
  <si>
    <t>suguna@gmail.com</t>
  </si>
  <si>
    <t>haritha</t>
  </si>
  <si>
    <t>haritha@gmail.com</t>
  </si>
  <si>
    <t>devi</t>
  </si>
  <si>
    <t>devi@gmail.com</t>
  </si>
  <si>
    <t>krishnapriya</t>
  </si>
  <si>
    <t>krishnapriya@gmail.com</t>
  </si>
  <si>
    <t>priya</t>
  </si>
  <si>
    <t>priya@gmail.com</t>
  </si>
  <si>
    <t>vijayalaksmi</t>
  </si>
  <si>
    <t>vijaya@gmail.com</t>
  </si>
  <si>
    <t>laksmi</t>
  </si>
  <si>
    <t>laksmi@gmail.com</t>
  </si>
  <si>
    <t>vagdevi</t>
  </si>
  <si>
    <t>vagdevi@gmail.com</t>
  </si>
  <si>
    <t>arya</t>
  </si>
  <si>
    <t>arya@gmail.com</t>
  </si>
  <si>
    <t>rajahmundry</t>
  </si>
  <si>
    <t>vivek</t>
  </si>
  <si>
    <t>vivek@gmail.com</t>
  </si>
  <si>
    <t>kishore</t>
  </si>
  <si>
    <t>kishore@gmail.com</t>
  </si>
  <si>
    <t>shivani</t>
  </si>
  <si>
    <t>shivani@gmail.com</t>
  </si>
  <si>
    <t>rakesh</t>
  </si>
  <si>
    <t>rakesh@gmail.com</t>
  </si>
  <si>
    <t>rajhamundry</t>
  </si>
  <si>
    <t>vasanthi</t>
  </si>
  <si>
    <t>vasanthi@gmail.com</t>
  </si>
  <si>
    <t>ramesh</t>
  </si>
  <si>
    <t>ramesh@gmail.com</t>
  </si>
  <si>
    <t>prathyusha</t>
  </si>
  <si>
    <t>prathyusha@gmail.com</t>
  </si>
  <si>
    <t>shalini</t>
  </si>
  <si>
    <t>shalini@gmail.com</t>
  </si>
  <si>
    <t>venkatsai</t>
  </si>
  <si>
    <t>venkat@gmailcom</t>
  </si>
  <si>
    <t>saisruthi</t>
  </si>
  <si>
    <t>saisruthi@gmail.com</t>
  </si>
  <si>
    <t>radhakumari</t>
  </si>
  <si>
    <t>radha@gmail.com</t>
  </si>
  <si>
    <t>krishnavenkat</t>
  </si>
  <si>
    <t>krishna@gmail.com</t>
  </si>
  <si>
    <t>sivathmika</t>
  </si>
  <si>
    <t>sivathmika@gmail.com</t>
  </si>
  <si>
    <t>parvathi</t>
  </si>
  <si>
    <t>parvathi@gmail.com</t>
  </si>
  <si>
    <t>ruparani</t>
  </si>
  <si>
    <t>ruparani@gmail.com</t>
  </si>
  <si>
    <t>rani</t>
  </si>
  <si>
    <t>rani@gmail.com</t>
  </si>
  <si>
    <t>leelasri</t>
  </si>
  <si>
    <t>leelasri@gmail.com</t>
  </si>
  <si>
    <t>srinivas</t>
  </si>
  <si>
    <t>srinivas@gmail.com</t>
  </si>
  <si>
    <t>alice</t>
  </si>
  <si>
    <t>alice@gmail.com</t>
  </si>
  <si>
    <t>bob</t>
  </si>
  <si>
    <t>bob@gmail.com</t>
  </si>
  <si>
    <t>charlie</t>
  </si>
  <si>
    <t>charlie@gmail.com</t>
  </si>
  <si>
    <t>daniel</t>
  </si>
  <si>
    <t>daniel@gmail.com</t>
  </si>
  <si>
    <t>sriram</t>
  </si>
  <si>
    <t>sriram@gmail.com</t>
  </si>
  <si>
    <t>surya</t>
  </si>
  <si>
    <t>surya@gmail.com</t>
  </si>
  <si>
    <t>komali</t>
  </si>
  <si>
    <t>komali@gmail.com</t>
  </si>
  <si>
    <t>archana</t>
  </si>
  <si>
    <t>archana@gmail.com</t>
  </si>
  <si>
    <t>chandrika</t>
  </si>
  <si>
    <t>chandrika@gmail.com</t>
  </si>
  <si>
    <t>harsha</t>
  </si>
  <si>
    <t>harsha@gmail.com</t>
  </si>
  <si>
    <t>manikanta</t>
  </si>
  <si>
    <t>manikanta@gmail.com</t>
  </si>
  <si>
    <t>prasad</t>
  </si>
  <si>
    <t>prasad@gmail.com</t>
  </si>
  <si>
    <t>bhanushenkar</t>
  </si>
  <si>
    <t>bhanu@gmail.com</t>
  </si>
  <si>
    <t>manvika</t>
  </si>
  <si>
    <t>manvika@gmail.com</t>
  </si>
  <si>
    <t>viswanadh</t>
  </si>
  <si>
    <t>viswa@gmail.com</t>
  </si>
  <si>
    <t>kaplana</t>
  </si>
  <si>
    <t>kaplana@gmail.com</t>
  </si>
  <si>
    <t>prasanth</t>
  </si>
  <si>
    <t>prasanth@gmail.com</t>
  </si>
  <si>
    <t>prasanthi</t>
  </si>
  <si>
    <t>prasanthi@gmail.com</t>
  </si>
  <si>
    <t>kousalya</t>
  </si>
  <si>
    <t>kousalya@gmail.com</t>
  </si>
  <si>
    <t>supradha</t>
  </si>
  <si>
    <t>supradha@gmail.com</t>
  </si>
  <si>
    <t>umamaheswar</t>
  </si>
  <si>
    <t>umamahi@gmail.com</t>
  </si>
  <si>
    <t>mahesh</t>
  </si>
  <si>
    <t>mahi@gmail.com</t>
  </si>
  <si>
    <t>astherether</t>
  </si>
  <si>
    <t>ether@gmail.com</t>
  </si>
  <si>
    <t>estheruma</t>
  </si>
  <si>
    <t>asther@gmail.com</t>
  </si>
  <si>
    <t>bhavyasri</t>
  </si>
  <si>
    <t>bhavya@gmail.com</t>
  </si>
  <si>
    <t>madhu</t>
  </si>
  <si>
    <t>madhu@gmail.com</t>
  </si>
  <si>
    <t>lalitha</t>
  </si>
  <si>
    <t>lalitha@gmail.com</t>
  </si>
  <si>
    <t>O-</t>
  </si>
  <si>
    <t>ramana</t>
  </si>
  <si>
    <t>ramana@gmail.com</t>
  </si>
  <si>
    <t>smileyradha</t>
  </si>
  <si>
    <t>smiley@gmail.com</t>
  </si>
  <si>
    <t>AB-</t>
  </si>
  <si>
    <t>rosy</t>
  </si>
  <si>
    <t>rosy@gmail.com</t>
  </si>
  <si>
    <t>saraswathi</t>
  </si>
  <si>
    <t>saraswathi@gmail.com</t>
  </si>
  <si>
    <t>swathi</t>
  </si>
  <si>
    <t>swathi2gmail.com</t>
  </si>
  <si>
    <t>pavaniswpana</t>
  </si>
  <si>
    <t>pavani@gmail.com</t>
  </si>
  <si>
    <t>chemanhti</t>
  </si>
  <si>
    <t>chemanthi@gmail.com</t>
  </si>
  <si>
    <t>sivasathi</t>
  </si>
  <si>
    <t>siva@gmail.com</t>
  </si>
  <si>
    <t>sathvikkumar</t>
  </si>
  <si>
    <t>kumar@gmail.com</t>
  </si>
  <si>
    <t>nehaswini</t>
  </si>
  <si>
    <t>neha23@gmail.com</t>
  </si>
  <si>
    <t>bhavani</t>
  </si>
  <si>
    <t>bhavani@gmail.com</t>
  </si>
  <si>
    <t>koushik</t>
  </si>
  <si>
    <t>koushik@gmail.com</t>
  </si>
  <si>
    <t>kamal</t>
  </si>
  <si>
    <t>kamla@gmail.com</t>
  </si>
  <si>
    <t>sahithiteja</t>
  </si>
  <si>
    <t>teja456@gmail.com</t>
  </si>
  <si>
    <t>tejaprasad</t>
  </si>
  <si>
    <t>prasad2356@gmail.com</t>
  </si>
  <si>
    <t>Btech</t>
  </si>
  <si>
    <t>Row Labels</t>
  </si>
  <si>
    <t>Grand Total</t>
  </si>
  <si>
    <t>Count of Title</t>
  </si>
  <si>
    <t>Count of Course</t>
  </si>
  <si>
    <t>Unique Locations</t>
  </si>
  <si>
    <t>Unique Blood Groups</t>
  </si>
  <si>
    <t>Unique Courses</t>
  </si>
  <si>
    <t>Count of DonorResponse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</si>
</sst>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16" fillId="0" borderId="0" xfId="0" applyFon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numFmt numFmtId="0" formatCode="General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0" formatCode="General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[Combined Table.xlsm]Sheet6!PivotTable14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015971070529791E-2"/>
          <c:y val="7.1739142714676948E-2"/>
          <c:w val="0.93930429761241407"/>
          <c:h val="0.75658708602997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Sheet6!$G$12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Sheet6!$F$13:$F$18</c:f>
              <c:strCache>
                <c:ptCount val="5"/>
                <c:pt idx="0">
                  <c:v>Near Aditya University</c:v>
                </c:pt>
                <c:pt idx="1">
                  <c:v>Near Kakinada</c:v>
                </c:pt>
                <c:pt idx="2">
                  <c:v>Near Rajahmundry</c:v>
                </c:pt>
                <c:pt idx="3">
                  <c:v>Near SamalKot</c:v>
                </c:pt>
                <c:pt idx="4">
                  <c:v>Near Yanam</c:v>
                </c:pt>
              </c:strCache>
            </c:strRef>
          </c:cat>
          <c:val>
            <c:numRef>
              <c:f>Sheet6!$G$13:$G$18</c:f>
              <c:numCache>
                <c:formatCode>General</c:formatCode>
                <c:ptCount val="5"/>
                <c:pt idx="0">
                  <c:v>11</c:v>
                </c:pt>
                <c:pt idx="1">
                  <c:v>6</c:v>
                </c:pt>
                <c:pt idx="2">
                  <c:v>4</c:v>
                </c:pt>
                <c:pt idx="3">
                  <c:v>10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26-4FF1-9483-7E4F6003E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05375"/>
        <c:axId val="529107295"/>
      </c:barChart>
      <c:catAx>
        <c:axId val="5291053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Area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07295"/>
        <c:crosses val="autoZero"/>
        <c:auto val="1"/>
        <c:lblAlgn val="ctr"/>
        <c:lblOffset val="100"/>
        <c:noMultiLvlLbl val="0"/>
      </c:catAx>
      <c:valAx>
        <c:axId val="52910729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No.</a:t>
                </a:r>
                <a:r>
                  <a:rPr lang="en-IN" baseline="0"/>
                  <a:t> Of People</a:t>
                </a:r>
                <a:endParaRPr lang="en-IN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05375"/>
        <c:crosses val="autoZero"/>
        <c:crossBetween val="between"/>
      </c:valAx>
    </c:plotArea>
    <c:plotVisOnly val="1"/>
    <c:dispBlanksAs val="gap"/>
    <c:showDLblsOverMax val="0"/>
    <c:extLst/>
  </c:chart>
  <c:spPr>
    <a:solidFill>
      <a:sysClr val="window" lastClr="FFFFFF"/>
    </a:solidFill>
    <a:ln>
      <a:solidFill>
        <a:schemeClr val="bg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[Combined Table.xlsm]Sheet6!PivotTable13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9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Sheet6!$D$8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explosion val="7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F9-4868-9081-F7E8E7721CAB}"/>
              </c:ext>
            </c:extLst>
          </c:dPt>
          <c:dPt>
            <c:idx val="1"/>
            <c:bubble3D val="0"/>
            <c:explosion val="1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F9-4868-9081-F7E8E7721CAB}"/>
              </c:ext>
            </c:extLst>
          </c:dPt>
          <c:dPt>
            <c:idx val="2"/>
            <c:bubble3D val="0"/>
            <c:explosion val="7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F9-4868-9081-F7E8E7721CAB}"/>
              </c:ext>
            </c:extLst>
          </c:dPt>
          <c:dPt>
            <c:idx val="3"/>
            <c:bubble3D val="0"/>
            <c:explosion val="7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F9-4868-9081-F7E8E7721CAB}"/>
              </c:ext>
            </c:extLst>
          </c:dPt>
          <c:dPt>
            <c:idx val="4"/>
            <c:bubble3D val="0"/>
            <c:explosion val="7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DF9-4868-9081-F7E8E7721C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Sheet6!$C$9:$C$14</c:f>
              <c:strCache>
                <c:ptCount val="5"/>
                <c:pt idx="0">
                  <c:v>A-</c:v>
                </c:pt>
                <c:pt idx="1">
                  <c:v>AB+</c:v>
                </c:pt>
                <c:pt idx="2">
                  <c:v>B-</c:v>
                </c:pt>
                <c:pt idx="3">
                  <c:v>B+</c:v>
                </c:pt>
                <c:pt idx="4">
                  <c:v>O+</c:v>
                </c:pt>
              </c:strCache>
            </c:strRef>
          </c:cat>
          <c:val>
            <c:numRef>
              <c:f>Sheet6!$D$9:$D$14</c:f>
              <c:numCache>
                <c:formatCode>General</c:formatCode>
                <c:ptCount val="5"/>
                <c:pt idx="0">
                  <c:v>3</c:v>
                </c:pt>
                <c:pt idx="1">
                  <c:v>14</c:v>
                </c:pt>
                <c:pt idx="2">
                  <c:v>1</c:v>
                </c:pt>
                <c:pt idx="3">
                  <c:v>10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F9-4868-9081-F7E8E7721CA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[Combined Table.xlsm]Sheet6!PivotTable10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58866865024647"/>
          <c:y val="0"/>
          <c:w val="0.75564932212292002"/>
          <c:h val="0.8850172422667147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Sheet6!$D$17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Sheet6!$C$18:$C$24</c:f>
              <c:strCache>
                <c:ptCount val="6"/>
                <c:pt idx="0">
                  <c:v>BBA</c:v>
                </c:pt>
                <c:pt idx="1">
                  <c:v>Btech</c:v>
                </c:pt>
                <c:pt idx="2">
                  <c:v>B-tech</c:v>
                </c:pt>
                <c:pt idx="3">
                  <c:v>MBA</c:v>
                </c:pt>
                <c:pt idx="4">
                  <c:v>MCA</c:v>
                </c:pt>
                <c:pt idx="5">
                  <c:v>M-tech</c:v>
                </c:pt>
              </c:strCache>
            </c:strRef>
          </c:cat>
          <c:val>
            <c:numRef>
              <c:f>Sheet6!$D$18:$D$24</c:f>
              <c:numCache>
                <c:formatCode>General</c:formatCode>
                <c:ptCount val="6"/>
                <c:pt idx="0">
                  <c:v>8</c:v>
                </c:pt>
                <c:pt idx="1">
                  <c:v>1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71-4D25-A0F6-34F566DC0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70751"/>
        <c:axId val="99168351"/>
      </c:barChart>
      <c:catAx>
        <c:axId val="9917075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68351"/>
        <c:crosses val="autoZero"/>
        <c:auto val="1"/>
        <c:lblAlgn val="ctr"/>
        <c:lblOffset val="100"/>
        <c:noMultiLvlLbl val="0"/>
      </c:catAx>
      <c:valAx>
        <c:axId val="99168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7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[Combined Table.xlsm]Sheet6!PivotTable1</c:name>
    <c:fmtId val="10"/>
  </c:pivotSource>
  <c:chart>
    <c:autoTitleDeleted val="1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rgbClr val="156082">
                  <a:shade val="6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</c15:spPr>
            </c:ext>
          </c:extLst>
        </c:dLbl>
      </c:pivotFmt>
      <c:pivotFmt>
        <c:idx val="6"/>
        <c:spPr>
          <a:solidFill>
            <a:schemeClr val="accent1">
              <a:shade val="65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8"/>
        <c:spPr>
          <a:solidFill>
            <a:schemeClr val="accent1">
              <a:tint val="65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Sheet6!$J$23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65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AFC-480E-AD6F-A17731CF9DD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AFC-480E-AD6F-A17731CF9DD8}"/>
              </c:ext>
            </c:extLst>
          </c:dPt>
          <c:dPt>
            <c:idx val="2"/>
            <c:bubble3D val="0"/>
            <c:spPr>
              <a:solidFill>
                <a:schemeClr val="accent1">
                  <a:tint val="65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AFC-480E-AD6F-A17731CF9DD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rgbClr val="156082">
                    <a:shade val="6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Sheet6!$I$24:$I$27</c:f>
              <c:strCache>
                <c:ptCount val="3"/>
                <c:pt idx="0">
                  <c:v>cancelled</c:v>
                </c:pt>
                <c:pt idx="1">
                  <c:v>Doner found</c:v>
                </c:pt>
                <c:pt idx="2">
                  <c:v>No Doner Yet</c:v>
                </c:pt>
              </c:strCache>
            </c:strRef>
          </c:cat>
          <c:val>
            <c:numRef>
              <c:f>Sheet6!$J$24:$J$27</c:f>
              <c:numCache>
                <c:formatCode>General</c:formatCode>
                <c:ptCount val="3"/>
                <c:pt idx="0">
                  <c:v>14</c:v>
                </c:pt>
                <c:pt idx="1">
                  <c:v>18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FC-480E-AD6F-A17731CF9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1958798843878259E-2"/>
          <c:y val="0.1141545429022474"/>
          <c:w val="0.92415622518215068"/>
          <c:h val="0.77789417000731798"/>
        </c:manualLayout>
      </c:layout>
      <c:barChart>
        <c:barDir val="col"/>
        <c:grouping val="clustered"/>
        <c:varyColors val="0"/>
        <c:ser>
          <c:idx val="0"/>
          <c:order val="0"/>
          <c:tx>
            <c:v>Available</c:v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6"/>
              <c:pt idx="0">
                <c:v>kakinada</c:v>
              </c:pt>
              <c:pt idx="1">
                <c:v>pedhapuram</c:v>
              </c:pt>
              <c:pt idx="2">
                <c:v>rajhamundry</c:v>
              </c:pt>
              <c:pt idx="3">
                <c:v>samarlakota</c:v>
              </c:pt>
              <c:pt idx="4">
                <c:v>surampalem</c:v>
              </c:pt>
              <c:pt idx="5">
                <c:v>yanam</c:v>
              </c:pt>
            </c:strLit>
          </c:cat>
          <c:val>
            <c:numLit>
              <c:formatCode>General</c:formatCode>
              <c:ptCount val="6"/>
              <c:pt idx="0">
                <c:v>2</c:v>
              </c:pt>
              <c:pt idx="1">
                <c:v>1</c:v>
              </c:pt>
              <c:pt idx="2">
                <c:v>2</c:v>
              </c:pt>
              <c:pt idx="3">
                <c:v>1</c:v>
              </c:pt>
              <c:pt idx="4">
                <c:v>3</c:v>
              </c:pt>
              <c:pt idx="5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0-DE32-4FA4-B065-0AA45A62FFB1}"/>
            </c:ext>
          </c:extLst>
        </c:ser>
        <c:ser>
          <c:idx val="1"/>
          <c:order val="1"/>
          <c:tx>
            <c:v>Unavailable</c:v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6"/>
              <c:pt idx="0">
                <c:v>kakinada</c:v>
              </c:pt>
              <c:pt idx="1">
                <c:v>pedhapuram</c:v>
              </c:pt>
              <c:pt idx="2">
                <c:v>rajhamundry</c:v>
              </c:pt>
              <c:pt idx="3">
                <c:v>samarlakota</c:v>
              </c:pt>
              <c:pt idx="4">
                <c:v>surampalem</c:v>
              </c:pt>
              <c:pt idx="5">
                <c:v>yanam</c:v>
              </c:pt>
            </c:strLit>
          </c:cat>
          <c:val>
            <c:numLit>
              <c:formatCode>General</c:formatCode>
              <c:ptCount val="6"/>
              <c:pt idx="0">
                <c:v>9</c:v>
              </c:pt>
              <c:pt idx="1">
                <c:v>7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1-DE32-4FA4-B065-0AA45A62FFB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4823855"/>
        <c:axId val="2024820975"/>
      </c:barChart>
      <c:catAx>
        <c:axId val="20248238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820975"/>
        <c:crosses val="autoZero"/>
        <c:auto val="1"/>
        <c:lblAlgn val="ctr"/>
        <c:lblOffset val="100"/>
        <c:noMultiLvlLbl val="0"/>
      </c:catAx>
      <c:valAx>
        <c:axId val="202482097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823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[Combined Table.xlsm]Sheet6!PivotTable3</c:name>
    <c:fmtId val="8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Sheet6!$E$42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B62-4D4B-9094-FE27745C2453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62-4D4B-9094-FE27745C245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Sheet6!$D$43:$D$45</c:f>
              <c:strCache>
                <c:ptCount val="2"/>
                <c:pt idx="0">
                  <c:v>Available</c:v>
                </c:pt>
                <c:pt idx="1">
                  <c:v>Unavailable</c:v>
                </c:pt>
              </c:strCache>
            </c:strRef>
          </c:cat>
          <c:val>
            <c:numRef>
              <c:f>Sheet6!$E$43:$E$45</c:f>
              <c:numCache>
                <c:formatCode>General</c:formatCode>
                <c:ptCount val="2"/>
                <c:pt idx="0">
                  <c:v>15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62-4D4B-9094-FE27745C2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[Combined Table.xlsm]Sheet6!PivotTable3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Sheet6!$E$42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Sheet6!$D$43:$D$45</c:f>
              <c:strCache>
                <c:ptCount val="2"/>
                <c:pt idx="0">
                  <c:v>Available</c:v>
                </c:pt>
                <c:pt idx="1">
                  <c:v>Unavailable</c:v>
                </c:pt>
              </c:strCache>
            </c:strRef>
          </c:cat>
          <c:val>
            <c:numRef>
              <c:f>Sheet6!$E$43:$E$45</c:f>
              <c:numCache>
                <c:formatCode>General</c:formatCode>
                <c:ptCount val="2"/>
                <c:pt idx="0">
                  <c:v>15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B-45EE-B0A1-CFF745A4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319217</xdr:colOff>
      <xdr:row>1</xdr:row>
      <xdr:rowOff>37178</xdr:rowOff>
    </xdr:from>
    <xdr:to>
      <xdr:col>26</xdr:col>
      <xdr:colOff>195650</xdr:colOff>
      <xdr:row>37</xdr:row>
      <xdr:rowOff>163672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E776FF2D-09C9-4101-85AD-923CF3FE3915}"/>
            </a:ext>
          </a:extLst>
        </xdr:cNvPr>
        <xdr:cNvSpPr/>
      </xdr:nvSpPr>
      <xdr:spPr>
        <a:xfrm>
          <a:off x="926758" y="222529"/>
          <a:ext cx="15064946" cy="6799143"/>
        </a:xfrm>
        <a:prstGeom prst="roundRect">
          <a:avLst>
            <a:gd name="adj" fmla="val 2996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411892</xdr:colOff>
      <xdr:row>3</xdr:row>
      <xdr:rowOff>7843</xdr:rowOff>
    </xdr:from>
    <xdr:to>
      <xdr:col>12</xdr:col>
      <xdr:colOff>586393</xdr:colOff>
      <xdr:row>7</xdr:row>
      <xdr:rowOff>177119</xdr:rowOff>
    </xdr:to>
    <xdr:sp macro="" textlink="">
      <xdr:nvSpPr>
        <xdr:cNvPr id="41" name="cfilters">
          <a:extLst>
            <a:ext uri="{FF2B5EF4-FFF2-40B4-BE49-F238E27FC236}">
              <a16:creationId xmlns:a16="http://schemas.microsoft.com/office/drawing/2014/main" id="{2FC287FF-9BF0-44D0-80F2-ADF6A1516257}"/>
            </a:ext>
          </a:extLst>
        </xdr:cNvPr>
        <xdr:cNvSpPr/>
      </xdr:nvSpPr>
      <xdr:spPr>
        <a:xfrm>
          <a:off x="5879757" y="563897"/>
          <a:ext cx="1997122" cy="910681"/>
        </a:xfrm>
        <a:prstGeom prst="roundRect">
          <a:avLst>
            <a:gd name="adj" fmla="val 12052"/>
          </a:avLst>
        </a:prstGeom>
        <a:pattFill prst="pct5">
          <a:fgClr>
            <a:srgbClr val="FFFFFF"/>
          </a:fgClr>
          <a:bgClr>
            <a:schemeClr val="bg1"/>
          </a:bgClr>
        </a:pattFill>
        <a:ln w="19050" cap="flat" cmpd="sng" algn="ctr">
          <a:gradFill>
            <a:gsLst>
              <a:gs pos="72000">
                <a:srgbClr val="76C5E9"/>
              </a:gs>
              <a:gs pos="0">
                <a:schemeClr val="accent1">
                  <a:lumMod val="5000"/>
                  <a:lumOff val="95000"/>
                </a:schemeClr>
              </a:gs>
              <a:gs pos="8000">
                <a:schemeClr val="accent1">
                  <a:lumMod val="45000"/>
                  <a:lumOff val="55000"/>
                </a:schemeClr>
              </a:gs>
              <a:gs pos="0">
                <a:schemeClr val="accent1">
                  <a:lumMod val="45000"/>
                  <a:lumOff val="55000"/>
                </a:schemeClr>
              </a:gs>
              <a:gs pos="18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prstDash val="solid"/>
          <a:miter lim="800000"/>
        </a:ln>
        <a:effectLst>
          <a:glow rad="63500">
            <a:schemeClr val="accent1">
              <a:lumMod val="20000"/>
              <a:lumOff val="80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281411</xdr:colOff>
      <xdr:row>3</xdr:row>
      <xdr:rowOff>7844</xdr:rowOff>
    </xdr:from>
    <xdr:to>
      <xdr:col>21</xdr:col>
      <xdr:colOff>269458</xdr:colOff>
      <xdr:row>7</xdr:row>
      <xdr:rowOff>177120</xdr:rowOff>
    </xdr:to>
    <xdr:sp macro="" textlink="">
      <xdr:nvSpPr>
        <xdr:cNvPr id="43" name="ctmargin">
          <a:extLst>
            <a:ext uri="{FF2B5EF4-FFF2-40B4-BE49-F238E27FC236}">
              <a16:creationId xmlns:a16="http://schemas.microsoft.com/office/drawing/2014/main" id="{8AAE38A7-166E-4A67-949D-85786938D4A9}"/>
            </a:ext>
          </a:extLst>
        </xdr:cNvPr>
        <xdr:cNvSpPr/>
      </xdr:nvSpPr>
      <xdr:spPr>
        <a:xfrm>
          <a:off x="10609600" y="563898"/>
          <a:ext cx="2418209" cy="910681"/>
        </a:xfrm>
        <a:prstGeom prst="roundRect">
          <a:avLst>
            <a:gd name="adj" fmla="val 10921"/>
          </a:avLst>
        </a:prstGeom>
        <a:pattFill prst="pct5">
          <a:fgClr>
            <a:srgbClr val="FFFFFF"/>
          </a:fgClr>
          <a:bgClr>
            <a:schemeClr val="bg1"/>
          </a:bgClr>
        </a:pattFill>
        <a:ln w="19050" cap="flat" cmpd="sng" algn="ctr">
          <a:gradFill>
            <a:gsLst>
              <a:gs pos="72000">
                <a:srgbClr val="76C5E9"/>
              </a:gs>
              <a:gs pos="0">
                <a:schemeClr val="accent1">
                  <a:lumMod val="5000"/>
                  <a:lumOff val="95000"/>
                </a:schemeClr>
              </a:gs>
              <a:gs pos="8000">
                <a:schemeClr val="accent1">
                  <a:lumMod val="45000"/>
                  <a:lumOff val="55000"/>
                </a:schemeClr>
              </a:gs>
              <a:gs pos="0">
                <a:schemeClr val="accent1">
                  <a:lumMod val="45000"/>
                  <a:lumOff val="55000"/>
                </a:schemeClr>
              </a:gs>
              <a:gs pos="18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prstDash val="solid"/>
          <a:miter lim="800000"/>
        </a:ln>
        <a:effectLst>
          <a:glow rad="63500">
            <a:schemeClr val="accent1">
              <a:lumMod val="20000"/>
              <a:lumOff val="80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334678</xdr:colOff>
      <xdr:row>3</xdr:row>
      <xdr:rowOff>7843</xdr:rowOff>
    </xdr:from>
    <xdr:to>
      <xdr:col>25</xdr:col>
      <xdr:colOff>318620</xdr:colOff>
      <xdr:row>7</xdr:row>
      <xdr:rowOff>177119</xdr:rowOff>
    </xdr:to>
    <xdr:sp macro="" textlink="">
      <xdr:nvSpPr>
        <xdr:cNvPr id="44" name="cpmargin">
          <a:extLst>
            <a:ext uri="{FF2B5EF4-FFF2-40B4-BE49-F238E27FC236}">
              <a16:creationId xmlns:a16="http://schemas.microsoft.com/office/drawing/2014/main" id="{33CBA115-AAD1-4BA6-BBBE-40192C2B6EDE}"/>
            </a:ext>
          </a:extLst>
        </xdr:cNvPr>
        <xdr:cNvSpPr/>
      </xdr:nvSpPr>
      <xdr:spPr>
        <a:xfrm>
          <a:off x="13093029" y="563897"/>
          <a:ext cx="2414105" cy="910681"/>
        </a:xfrm>
        <a:prstGeom prst="roundRect">
          <a:avLst>
            <a:gd name="adj" fmla="val 9789"/>
          </a:avLst>
        </a:prstGeom>
        <a:pattFill prst="pct5">
          <a:fgClr>
            <a:srgbClr val="FFFFFF"/>
          </a:fgClr>
          <a:bgClr>
            <a:schemeClr val="bg1"/>
          </a:bgClr>
        </a:pattFill>
        <a:ln w="19050" cap="flat" cmpd="sng" algn="ctr">
          <a:gradFill>
            <a:gsLst>
              <a:gs pos="72000">
                <a:srgbClr val="76C5E9"/>
              </a:gs>
              <a:gs pos="0">
                <a:schemeClr val="accent1">
                  <a:lumMod val="5000"/>
                  <a:lumOff val="95000"/>
                </a:schemeClr>
              </a:gs>
              <a:gs pos="8000">
                <a:schemeClr val="accent1">
                  <a:lumMod val="45000"/>
                  <a:lumOff val="55000"/>
                </a:schemeClr>
              </a:gs>
              <a:gs pos="0">
                <a:schemeClr val="accent1">
                  <a:lumMod val="45000"/>
                  <a:lumOff val="55000"/>
                </a:schemeClr>
              </a:gs>
              <a:gs pos="18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prstDash val="solid"/>
          <a:miter lim="800000"/>
        </a:ln>
        <a:effectLst>
          <a:glow rad="63500">
            <a:schemeClr val="accent1">
              <a:lumMod val="20000"/>
              <a:lumOff val="80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19913</xdr:colOff>
      <xdr:row>3</xdr:row>
      <xdr:rowOff>19567</xdr:rowOff>
    </xdr:from>
    <xdr:to>
      <xdr:col>9</xdr:col>
      <xdr:colOff>277696</xdr:colOff>
      <xdr:row>8</xdr:row>
      <xdr:rowOff>1274</xdr:rowOff>
    </xdr:to>
    <xdr:sp macro="" textlink="">
      <xdr:nvSpPr>
        <xdr:cNvPr id="45" name="ccustcount">
          <a:extLst>
            <a:ext uri="{FF2B5EF4-FFF2-40B4-BE49-F238E27FC236}">
              <a16:creationId xmlns:a16="http://schemas.microsoft.com/office/drawing/2014/main" id="{DB785494-6178-4D09-A7C9-2A948C15A58D}"/>
            </a:ext>
          </a:extLst>
        </xdr:cNvPr>
        <xdr:cNvSpPr/>
      </xdr:nvSpPr>
      <xdr:spPr>
        <a:xfrm>
          <a:off x="1239113" y="582275"/>
          <a:ext cx="4524983" cy="919553"/>
        </a:xfrm>
        <a:prstGeom prst="roundRect">
          <a:avLst>
            <a:gd name="adj" fmla="val 16578"/>
          </a:avLst>
        </a:prstGeom>
        <a:pattFill prst="pct5">
          <a:fgClr>
            <a:srgbClr val="FFFFFF"/>
          </a:fgClr>
          <a:bgClr>
            <a:schemeClr val="bg1"/>
          </a:bgClr>
        </a:pattFill>
        <a:ln w="19050" cap="flat" cmpd="sng" algn="ctr">
          <a:gradFill>
            <a:gsLst>
              <a:gs pos="72000">
                <a:srgbClr val="76C5E9"/>
              </a:gs>
              <a:gs pos="0">
                <a:schemeClr val="accent1">
                  <a:lumMod val="5000"/>
                  <a:lumOff val="95000"/>
                </a:schemeClr>
              </a:gs>
              <a:gs pos="8000">
                <a:schemeClr val="accent1">
                  <a:lumMod val="45000"/>
                  <a:lumOff val="55000"/>
                </a:schemeClr>
              </a:gs>
              <a:gs pos="0">
                <a:schemeClr val="accent1">
                  <a:lumMod val="45000"/>
                  <a:lumOff val="55000"/>
                </a:schemeClr>
              </a:gs>
              <a:gs pos="18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prstDash val="solid"/>
          <a:miter lim="800000"/>
        </a:ln>
        <a:effectLst>
          <a:glow rad="63500">
            <a:schemeClr val="accent1">
              <a:lumMod val="20000"/>
              <a:lumOff val="80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23446</xdr:colOff>
      <xdr:row>8</xdr:row>
      <xdr:rowOff>146267</xdr:rowOff>
    </xdr:from>
    <xdr:to>
      <xdr:col>15</xdr:col>
      <xdr:colOff>113552</xdr:colOff>
      <xdr:row>22</xdr:row>
      <xdr:rowOff>97996</xdr:rowOff>
    </xdr:to>
    <xdr:sp macro="" textlink="">
      <xdr:nvSpPr>
        <xdr:cNvPr id="47" name="csalestrend">
          <a:extLst>
            <a:ext uri="{FF2B5EF4-FFF2-40B4-BE49-F238E27FC236}">
              <a16:creationId xmlns:a16="http://schemas.microsoft.com/office/drawing/2014/main" id="{1EE51CDD-6C83-4E53-9AD0-8604BA37952E}"/>
            </a:ext>
          </a:extLst>
        </xdr:cNvPr>
        <xdr:cNvSpPr/>
      </xdr:nvSpPr>
      <xdr:spPr>
        <a:xfrm>
          <a:off x="1242646" y="1646821"/>
          <a:ext cx="8014906" cy="2577698"/>
        </a:xfrm>
        <a:prstGeom prst="roundRect">
          <a:avLst>
            <a:gd name="adj" fmla="val 4619"/>
          </a:avLst>
        </a:prstGeom>
        <a:pattFill prst="pct5">
          <a:fgClr>
            <a:srgbClr val="FFFFFF"/>
          </a:fgClr>
          <a:bgClr>
            <a:schemeClr val="bg1"/>
          </a:bgClr>
        </a:pattFill>
        <a:ln w="19050" cap="flat" cmpd="sng" algn="ctr">
          <a:gradFill>
            <a:gsLst>
              <a:gs pos="72000">
                <a:srgbClr val="76C5E9"/>
              </a:gs>
              <a:gs pos="0">
                <a:schemeClr val="accent1">
                  <a:lumMod val="5000"/>
                  <a:lumOff val="95000"/>
                </a:schemeClr>
              </a:gs>
              <a:gs pos="8000">
                <a:schemeClr val="accent1">
                  <a:lumMod val="45000"/>
                  <a:lumOff val="55000"/>
                </a:schemeClr>
              </a:gs>
              <a:gs pos="0">
                <a:schemeClr val="accent1">
                  <a:lumMod val="45000"/>
                  <a:lumOff val="55000"/>
                </a:schemeClr>
              </a:gs>
              <a:gs pos="18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prstDash val="solid"/>
          <a:miter lim="800000"/>
        </a:ln>
        <a:effectLst>
          <a:glow rad="63500">
            <a:schemeClr val="accent1">
              <a:lumMod val="20000"/>
              <a:lumOff val="80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242506</xdr:colOff>
      <xdr:row>8</xdr:row>
      <xdr:rowOff>146267</xdr:rowOff>
    </xdr:from>
    <xdr:to>
      <xdr:col>20</xdr:col>
      <xdr:colOff>339520</xdr:colOff>
      <xdr:row>22</xdr:row>
      <xdr:rowOff>97996</xdr:rowOff>
    </xdr:to>
    <xdr:sp macro="" textlink="">
      <xdr:nvSpPr>
        <xdr:cNvPr id="48" name="ccustsource">
          <a:extLst>
            <a:ext uri="{FF2B5EF4-FFF2-40B4-BE49-F238E27FC236}">
              <a16:creationId xmlns:a16="http://schemas.microsoft.com/office/drawing/2014/main" id="{8DEC82C8-8C18-41F6-9E22-5ADDADCAEB9A}"/>
            </a:ext>
          </a:extLst>
        </xdr:cNvPr>
        <xdr:cNvSpPr/>
      </xdr:nvSpPr>
      <xdr:spPr>
        <a:xfrm>
          <a:off x="9445883" y="1571306"/>
          <a:ext cx="3164806" cy="2445547"/>
        </a:xfrm>
        <a:prstGeom prst="roundRect">
          <a:avLst>
            <a:gd name="adj" fmla="val 5833"/>
          </a:avLst>
        </a:prstGeom>
        <a:pattFill prst="pct5">
          <a:fgClr>
            <a:srgbClr val="FFFFFF"/>
          </a:fgClr>
          <a:bgClr>
            <a:schemeClr val="bg1"/>
          </a:bgClr>
        </a:pattFill>
        <a:ln w="19050" cap="flat" cmpd="sng" algn="ctr">
          <a:gradFill>
            <a:gsLst>
              <a:gs pos="72000">
                <a:srgbClr val="76C5E9"/>
              </a:gs>
              <a:gs pos="0">
                <a:schemeClr val="accent1">
                  <a:lumMod val="5000"/>
                  <a:lumOff val="95000"/>
                </a:schemeClr>
              </a:gs>
              <a:gs pos="8000">
                <a:schemeClr val="accent1">
                  <a:lumMod val="45000"/>
                  <a:lumOff val="55000"/>
                </a:schemeClr>
              </a:gs>
              <a:gs pos="0">
                <a:schemeClr val="accent1">
                  <a:lumMod val="45000"/>
                  <a:lumOff val="55000"/>
                </a:schemeClr>
              </a:gs>
              <a:gs pos="18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prstDash val="solid"/>
          <a:miter lim="800000"/>
        </a:ln>
        <a:effectLst>
          <a:glow rad="63500">
            <a:schemeClr val="accent1">
              <a:lumMod val="20000"/>
              <a:lumOff val="80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438731</xdr:colOff>
      <xdr:row>8</xdr:row>
      <xdr:rowOff>161661</xdr:rowOff>
    </xdr:from>
    <xdr:to>
      <xdr:col>25</xdr:col>
      <xdr:colOff>401736</xdr:colOff>
      <xdr:row>22</xdr:row>
      <xdr:rowOff>113390</xdr:rowOff>
    </xdr:to>
    <xdr:sp macro="" textlink="">
      <xdr:nvSpPr>
        <xdr:cNvPr id="49" name="csalescity">
          <a:extLst>
            <a:ext uri="{FF2B5EF4-FFF2-40B4-BE49-F238E27FC236}">
              <a16:creationId xmlns:a16="http://schemas.microsoft.com/office/drawing/2014/main" id="{C330EFCB-4E6D-4791-A3AC-B0D51D25A62E}"/>
            </a:ext>
          </a:extLst>
        </xdr:cNvPr>
        <xdr:cNvSpPr/>
      </xdr:nvSpPr>
      <xdr:spPr>
        <a:xfrm>
          <a:off x="12599943" y="1639479"/>
          <a:ext cx="3003308" cy="2537911"/>
        </a:xfrm>
        <a:prstGeom prst="roundRect">
          <a:avLst>
            <a:gd name="adj" fmla="val 5023"/>
          </a:avLst>
        </a:prstGeom>
        <a:pattFill prst="pct5">
          <a:fgClr>
            <a:srgbClr val="FFFFFF"/>
          </a:fgClr>
          <a:bgClr>
            <a:schemeClr val="bg1"/>
          </a:bgClr>
        </a:pattFill>
        <a:ln w="19050" cap="flat" cmpd="sng" algn="ctr">
          <a:gradFill>
            <a:gsLst>
              <a:gs pos="72000">
                <a:srgbClr val="76C5E9"/>
              </a:gs>
              <a:gs pos="0">
                <a:schemeClr val="accent1">
                  <a:lumMod val="5000"/>
                  <a:lumOff val="95000"/>
                </a:schemeClr>
              </a:gs>
              <a:gs pos="8000">
                <a:schemeClr val="accent1">
                  <a:lumMod val="45000"/>
                  <a:lumOff val="55000"/>
                </a:schemeClr>
              </a:gs>
              <a:gs pos="0">
                <a:schemeClr val="accent1">
                  <a:lumMod val="45000"/>
                  <a:lumOff val="55000"/>
                </a:schemeClr>
              </a:gs>
              <a:gs pos="18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prstDash val="solid"/>
          <a:miter lim="800000"/>
        </a:ln>
        <a:effectLst>
          <a:glow rad="63500">
            <a:schemeClr val="accent1">
              <a:lumMod val="20000"/>
              <a:lumOff val="80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0</xdr:colOff>
      <xdr:row>23</xdr:row>
      <xdr:rowOff>64068</xdr:rowOff>
    </xdr:from>
    <xdr:to>
      <xdr:col>10</xdr:col>
      <xdr:colOff>123567</xdr:colOff>
      <xdr:row>37</xdr:row>
      <xdr:rowOff>13663</xdr:rowOff>
    </xdr:to>
    <xdr:sp macro="" textlink="">
      <xdr:nvSpPr>
        <xdr:cNvPr id="50" name="csalesservice">
          <a:extLst>
            <a:ext uri="{FF2B5EF4-FFF2-40B4-BE49-F238E27FC236}">
              <a16:creationId xmlns:a16="http://schemas.microsoft.com/office/drawing/2014/main" id="{BA39B018-C6BD-4705-B5A1-2625B43E8559}"/>
            </a:ext>
          </a:extLst>
        </xdr:cNvPr>
        <xdr:cNvSpPr/>
      </xdr:nvSpPr>
      <xdr:spPr>
        <a:xfrm>
          <a:off x="1215081" y="4327149"/>
          <a:ext cx="4983891" cy="2544514"/>
        </a:xfrm>
        <a:prstGeom prst="roundRect">
          <a:avLst>
            <a:gd name="adj" fmla="val 6240"/>
          </a:avLst>
        </a:prstGeom>
        <a:pattFill prst="pct5">
          <a:fgClr>
            <a:srgbClr val="FFFFFF"/>
          </a:fgClr>
          <a:bgClr>
            <a:schemeClr val="bg1"/>
          </a:bgClr>
        </a:pattFill>
        <a:ln w="19050" cap="flat" cmpd="sng" algn="ctr">
          <a:gradFill>
            <a:gsLst>
              <a:gs pos="72000">
                <a:srgbClr val="76C5E9"/>
              </a:gs>
              <a:gs pos="0">
                <a:schemeClr val="accent1">
                  <a:lumMod val="5000"/>
                  <a:lumOff val="95000"/>
                </a:schemeClr>
              </a:gs>
              <a:gs pos="8000">
                <a:schemeClr val="accent1">
                  <a:lumMod val="45000"/>
                  <a:lumOff val="55000"/>
                </a:schemeClr>
              </a:gs>
              <a:gs pos="0">
                <a:schemeClr val="accent1">
                  <a:lumMod val="45000"/>
                  <a:lumOff val="55000"/>
                </a:schemeClr>
              </a:gs>
              <a:gs pos="18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prstDash val="solid"/>
          <a:miter lim="800000"/>
        </a:ln>
        <a:effectLst>
          <a:glow rad="63500">
            <a:schemeClr val="accent1">
              <a:lumMod val="20000"/>
              <a:lumOff val="80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245139</xdr:colOff>
      <xdr:row>23</xdr:row>
      <xdr:rowOff>64068</xdr:rowOff>
    </xdr:from>
    <xdr:to>
      <xdr:col>15</xdr:col>
      <xdr:colOff>242506</xdr:colOff>
      <xdr:row>37</xdr:row>
      <xdr:rowOff>13663</xdr:rowOff>
    </xdr:to>
    <xdr:sp macro="" textlink="">
      <xdr:nvSpPr>
        <xdr:cNvPr id="51" name="cdeptmargin">
          <a:extLst>
            <a:ext uri="{FF2B5EF4-FFF2-40B4-BE49-F238E27FC236}">
              <a16:creationId xmlns:a16="http://schemas.microsoft.com/office/drawing/2014/main" id="{BF777E01-F9D9-4DD4-857A-90A3944DF96F}"/>
            </a:ext>
          </a:extLst>
        </xdr:cNvPr>
        <xdr:cNvSpPr/>
      </xdr:nvSpPr>
      <xdr:spPr>
        <a:xfrm>
          <a:off x="6380723" y="4161055"/>
          <a:ext cx="3065160" cy="2443413"/>
        </a:xfrm>
        <a:prstGeom prst="roundRect">
          <a:avLst>
            <a:gd name="adj" fmla="val 5430"/>
          </a:avLst>
        </a:prstGeom>
        <a:pattFill prst="pct5">
          <a:fgClr>
            <a:srgbClr val="FFFFFF"/>
          </a:fgClr>
          <a:bgClr>
            <a:schemeClr val="bg1"/>
          </a:bgClr>
        </a:pattFill>
        <a:ln w="19050" cap="flat" cmpd="sng" algn="ctr">
          <a:gradFill>
            <a:gsLst>
              <a:gs pos="72000">
                <a:srgbClr val="76C5E9"/>
              </a:gs>
              <a:gs pos="0">
                <a:schemeClr val="accent1">
                  <a:lumMod val="5000"/>
                  <a:lumOff val="95000"/>
                </a:schemeClr>
              </a:gs>
              <a:gs pos="8000">
                <a:schemeClr val="accent1">
                  <a:lumMod val="45000"/>
                  <a:lumOff val="55000"/>
                </a:schemeClr>
              </a:gs>
              <a:gs pos="0">
                <a:schemeClr val="accent1">
                  <a:lumMod val="45000"/>
                  <a:lumOff val="55000"/>
                </a:schemeClr>
              </a:gs>
              <a:gs pos="18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prstDash val="solid"/>
          <a:miter lim="800000"/>
        </a:ln>
        <a:effectLst>
          <a:glow rad="63500">
            <a:schemeClr val="accent1">
              <a:lumMod val="20000"/>
              <a:lumOff val="80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436096</xdr:colOff>
      <xdr:row>23</xdr:row>
      <xdr:rowOff>64068</xdr:rowOff>
    </xdr:from>
    <xdr:to>
      <xdr:col>25</xdr:col>
      <xdr:colOff>417937</xdr:colOff>
      <xdr:row>37</xdr:row>
      <xdr:rowOff>13663</xdr:rowOff>
    </xdr:to>
    <xdr:sp macro="" textlink="">
      <xdr:nvSpPr>
        <xdr:cNvPr id="52" name="cnewrepeat">
          <a:extLst>
            <a:ext uri="{FF2B5EF4-FFF2-40B4-BE49-F238E27FC236}">
              <a16:creationId xmlns:a16="http://schemas.microsoft.com/office/drawing/2014/main" id="{5F536B13-E8CF-4E1C-BE6C-59463176310A}"/>
            </a:ext>
          </a:extLst>
        </xdr:cNvPr>
        <xdr:cNvSpPr/>
      </xdr:nvSpPr>
      <xdr:spPr>
        <a:xfrm>
          <a:off x="9549204" y="4327149"/>
          <a:ext cx="6057247" cy="2544514"/>
        </a:xfrm>
        <a:prstGeom prst="roundRect">
          <a:avLst>
            <a:gd name="adj" fmla="val 5835"/>
          </a:avLst>
        </a:prstGeom>
        <a:pattFill prst="pct5">
          <a:fgClr>
            <a:srgbClr val="FFFFFF"/>
          </a:fgClr>
          <a:bgClr>
            <a:schemeClr val="bg1"/>
          </a:bgClr>
        </a:pattFill>
        <a:ln w="19050" cap="flat" cmpd="sng" algn="ctr">
          <a:gradFill>
            <a:gsLst>
              <a:gs pos="72000">
                <a:srgbClr val="76C5E9"/>
              </a:gs>
              <a:gs pos="0">
                <a:schemeClr val="accent1">
                  <a:lumMod val="5000"/>
                  <a:lumOff val="95000"/>
                </a:schemeClr>
              </a:gs>
              <a:gs pos="8000">
                <a:schemeClr val="accent1">
                  <a:lumMod val="45000"/>
                  <a:lumOff val="55000"/>
                </a:schemeClr>
              </a:gs>
              <a:gs pos="0">
                <a:schemeClr val="accent1">
                  <a:lumMod val="45000"/>
                  <a:lumOff val="55000"/>
                </a:schemeClr>
              </a:gs>
              <a:gs pos="18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prstDash val="solid"/>
          <a:miter lim="800000"/>
        </a:ln>
        <a:effectLst>
          <a:glow rad="63500">
            <a:schemeClr val="accent1">
              <a:lumMod val="20000"/>
              <a:lumOff val="80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474344</xdr:colOff>
      <xdr:row>3</xdr:row>
      <xdr:rowOff>109659</xdr:rowOff>
    </xdr:from>
    <xdr:to>
      <xdr:col>12</xdr:col>
      <xdr:colOff>327076</xdr:colOff>
      <xdr:row>5</xdr:row>
      <xdr:rowOff>119555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5FB7314E-CC24-CC64-989D-32EECC42BEDB}"/>
            </a:ext>
          </a:extLst>
        </xdr:cNvPr>
        <xdr:cNvSpPr txBox="1"/>
      </xdr:nvSpPr>
      <xdr:spPr>
        <a:xfrm>
          <a:off x="5942209" y="665713"/>
          <a:ext cx="1675353" cy="380599"/>
        </a:xfrm>
        <a:prstGeom prst="rect">
          <a:avLst/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Total Contributes</a:t>
          </a:r>
        </a:p>
      </xdr:txBody>
    </xdr:sp>
    <xdr:clientData/>
  </xdr:twoCellAnchor>
  <xdr:twoCellAnchor>
    <xdr:from>
      <xdr:col>17</xdr:col>
      <xdr:colOff>350108</xdr:colOff>
      <xdr:row>3</xdr:row>
      <xdr:rowOff>87058</xdr:rowOff>
    </xdr:from>
    <xdr:to>
      <xdr:col>21</xdr:col>
      <xdr:colOff>52155</xdr:colOff>
      <xdr:row>4</xdr:row>
      <xdr:rowOff>175054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4463AD38-EF94-3D72-E95B-B2A0D12478C6}"/>
            </a:ext>
          </a:extLst>
        </xdr:cNvPr>
        <xdr:cNvSpPr txBox="1"/>
      </xdr:nvSpPr>
      <xdr:spPr>
        <a:xfrm>
          <a:off x="10678297" y="643112"/>
          <a:ext cx="2132209" cy="273347"/>
        </a:xfrm>
        <a:prstGeom prst="rect">
          <a:avLst/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No</a:t>
          </a:r>
          <a:r>
            <a:rPr lang="en-IN" sz="1600" b="1" baseline="0"/>
            <a:t> Of Blood Groups</a:t>
          </a:r>
          <a:endParaRPr lang="en-IN" sz="1600" b="1"/>
        </a:p>
      </xdr:txBody>
    </xdr:sp>
    <xdr:clientData/>
  </xdr:twoCellAnchor>
  <xdr:twoCellAnchor>
    <xdr:from>
      <xdr:col>21</xdr:col>
      <xdr:colOff>567423</xdr:colOff>
      <xdr:row>3</xdr:row>
      <xdr:rowOff>58974</xdr:rowOff>
    </xdr:from>
    <xdr:to>
      <xdr:col>25</xdr:col>
      <xdr:colOff>48945</xdr:colOff>
      <xdr:row>5</xdr:row>
      <xdr:rowOff>68871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7B2C1B24-243D-A76C-CD77-E69A7BC398BC}"/>
            </a:ext>
          </a:extLst>
        </xdr:cNvPr>
        <xdr:cNvSpPr txBox="1"/>
      </xdr:nvSpPr>
      <xdr:spPr>
        <a:xfrm>
          <a:off x="13325774" y="615028"/>
          <a:ext cx="1911685" cy="380600"/>
        </a:xfrm>
        <a:prstGeom prst="rect">
          <a:avLst/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Branch Wise Count </a:t>
          </a:r>
        </a:p>
      </xdr:txBody>
    </xdr:sp>
    <xdr:clientData/>
  </xdr:twoCellAnchor>
  <xdr:twoCellAnchor>
    <xdr:from>
      <xdr:col>11</xdr:col>
      <xdr:colOff>372556</xdr:colOff>
      <xdr:row>5</xdr:row>
      <xdr:rowOff>63854</xdr:rowOff>
    </xdr:from>
    <xdr:to>
      <xdr:col>12</xdr:col>
      <xdr:colOff>262777</xdr:colOff>
      <xdr:row>7</xdr:row>
      <xdr:rowOff>97107</xdr:rowOff>
    </xdr:to>
    <xdr:sp macro="" textlink="Sheet6!A4">
      <xdr:nvSpPr>
        <xdr:cNvPr id="71" name="TextBox 70">
          <a:extLst>
            <a:ext uri="{FF2B5EF4-FFF2-40B4-BE49-F238E27FC236}">
              <a16:creationId xmlns:a16="http://schemas.microsoft.com/office/drawing/2014/main" id="{202847C8-F37C-4479-2909-EA9FD95A6AA0}"/>
            </a:ext>
          </a:extLst>
        </xdr:cNvPr>
        <xdr:cNvSpPr txBox="1"/>
      </xdr:nvSpPr>
      <xdr:spPr>
        <a:xfrm>
          <a:off x="7055502" y="990611"/>
          <a:ext cx="497761" cy="403955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0D77D3E-50DA-451A-A213-CE31F29FACD0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/>
            <a:t>36</a:t>
          </a:fld>
          <a:endParaRPr lang="en-IN" sz="1800" b="1"/>
        </a:p>
      </xdr:txBody>
    </xdr:sp>
    <xdr:clientData/>
  </xdr:twoCellAnchor>
  <xdr:twoCellAnchor>
    <xdr:from>
      <xdr:col>20</xdr:col>
      <xdr:colOff>7559</xdr:colOff>
      <xdr:row>5</xdr:row>
      <xdr:rowOff>27633</xdr:rowOff>
    </xdr:from>
    <xdr:to>
      <xdr:col>21</xdr:col>
      <xdr:colOff>7559</xdr:colOff>
      <xdr:row>7</xdr:row>
      <xdr:rowOff>27633</xdr:rowOff>
    </xdr:to>
    <xdr:sp macro="" textlink="Sheet6!E33">
      <xdr:nvSpPr>
        <xdr:cNvPr id="83" name="TextBox 82">
          <a:extLst>
            <a:ext uri="{FF2B5EF4-FFF2-40B4-BE49-F238E27FC236}">
              <a16:creationId xmlns:a16="http://schemas.microsoft.com/office/drawing/2014/main" id="{D62175C4-E46C-9F72-24D6-92A005449653}"/>
            </a:ext>
          </a:extLst>
        </xdr:cNvPr>
        <xdr:cNvSpPr txBox="1"/>
      </xdr:nvSpPr>
      <xdr:spPr>
        <a:xfrm>
          <a:off x="12158370" y="954390"/>
          <a:ext cx="607540" cy="370702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AE87F50-5B91-4835-830A-AE54C399BDD0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/>
            <a:t>5</a:t>
          </a:fld>
          <a:endParaRPr lang="en-IN" sz="3200" b="1"/>
        </a:p>
      </xdr:txBody>
    </xdr:sp>
    <xdr:clientData/>
  </xdr:twoCellAnchor>
  <xdr:twoCellAnchor>
    <xdr:from>
      <xdr:col>23</xdr:col>
      <xdr:colOff>311005</xdr:colOff>
      <xdr:row>5</xdr:row>
      <xdr:rowOff>76512</xdr:rowOff>
    </xdr:from>
    <xdr:to>
      <xdr:col>25</xdr:col>
      <xdr:colOff>50574</xdr:colOff>
      <xdr:row>7</xdr:row>
      <xdr:rowOff>28284</xdr:rowOff>
    </xdr:to>
    <xdr:sp macro="" textlink="Sheet6!B31">
      <xdr:nvSpPr>
        <xdr:cNvPr id="84" name="TextBox 83">
          <a:extLst>
            <a:ext uri="{FF2B5EF4-FFF2-40B4-BE49-F238E27FC236}">
              <a16:creationId xmlns:a16="http://schemas.microsoft.com/office/drawing/2014/main" id="{B26E1154-C2E5-6DE3-7997-A73769252F86}"/>
            </a:ext>
          </a:extLst>
        </xdr:cNvPr>
        <xdr:cNvSpPr txBox="1"/>
      </xdr:nvSpPr>
      <xdr:spPr>
        <a:xfrm>
          <a:off x="14284437" y="1003269"/>
          <a:ext cx="954651" cy="322474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D737E83-9DAB-4CD6-B67D-98CC7AAC88A2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/>
            <a:t>6</a:t>
          </a:fld>
          <a:endParaRPr lang="en-IN" sz="1800" b="1"/>
        </a:p>
      </xdr:txBody>
    </xdr:sp>
    <xdr:clientData/>
  </xdr:twoCellAnchor>
  <xdr:twoCellAnchor>
    <xdr:from>
      <xdr:col>2</xdr:col>
      <xdr:colOff>135038</xdr:colOff>
      <xdr:row>9</xdr:row>
      <xdr:rowOff>96456</xdr:rowOff>
    </xdr:from>
    <xdr:to>
      <xdr:col>7</xdr:col>
      <xdr:colOff>434051</xdr:colOff>
      <xdr:row>11</xdr:row>
      <xdr:rowOff>135038</xdr:rowOff>
    </xdr:to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0F76A275-B880-C0CE-2988-256B0F8ADDBB}"/>
            </a:ext>
          </a:extLst>
        </xdr:cNvPr>
        <xdr:cNvSpPr txBox="1"/>
      </xdr:nvSpPr>
      <xdr:spPr>
        <a:xfrm>
          <a:off x="1350380" y="1745848"/>
          <a:ext cx="3337367" cy="405114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Area Wise Count</a:t>
          </a:r>
        </a:p>
      </xdr:txBody>
    </xdr:sp>
    <xdr:clientData/>
  </xdr:twoCellAnchor>
  <xdr:twoCellAnchor>
    <xdr:from>
      <xdr:col>2</xdr:col>
      <xdr:colOff>262467</xdr:colOff>
      <xdr:row>11</xdr:row>
      <xdr:rowOff>118533</xdr:rowOff>
    </xdr:from>
    <xdr:to>
      <xdr:col>14</xdr:col>
      <xdr:colOff>508000</xdr:colOff>
      <xdr:row>22</xdr:row>
      <xdr:rowOff>16932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F4AE3047-AAC6-45F7-895E-BC3ECBE59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318304</xdr:colOff>
      <xdr:row>9</xdr:row>
      <xdr:rowOff>9646</xdr:rowOff>
    </xdr:from>
    <xdr:to>
      <xdr:col>19</xdr:col>
      <xdr:colOff>173620</xdr:colOff>
      <xdr:row>10</xdr:row>
      <xdr:rowOff>144684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78BF3E40-8A75-F47B-17D7-2A60CD1364B6}"/>
            </a:ext>
          </a:extLst>
        </xdr:cNvPr>
        <xdr:cNvSpPr txBox="1"/>
      </xdr:nvSpPr>
      <xdr:spPr>
        <a:xfrm>
          <a:off x="9433367" y="1659038"/>
          <a:ext cx="2286000" cy="318304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Blood Group</a:t>
          </a:r>
          <a:r>
            <a:rPr lang="en-IN" sz="1600" b="1" baseline="0"/>
            <a:t> Percentage</a:t>
          </a:r>
          <a:endParaRPr lang="en-IN" sz="1600" b="1"/>
        </a:p>
      </xdr:txBody>
    </xdr:sp>
    <xdr:clientData/>
  </xdr:twoCellAnchor>
  <xdr:twoCellAnchor>
    <xdr:from>
      <xdr:col>15</xdr:col>
      <xdr:colOff>284788</xdr:colOff>
      <xdr:row>11</xdr:row>
      <xdr:rowOff>0</xdr:rowOff>
    </xdr:from>
    <xdr:to>
      <xdr:col>20</xdr:col>
      <xdr:colOff>315576</xdr:colOff>
      <xdr:row>22</xdr:row>
      <xdr:rowOff>46182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888CEDCF-C168-48F7-824C-CD1C2CC6BD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546484</xdr:colOff>
      <xdr:row>9</xdr:row>
      <xdr:rowOff>7697</xdr:rowOff>
    </xdr:from>
    <xdr:to>
      <xdr:col>24</xdr:col>
      <xdr:colOff>169332</xdr:colOff>
      <xdr:row>11</xdr:row>
      <xdr:rowOff>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6A1411-857B-9D93-6BD4-919DC8B417F6}"/>
            </a:ext>
          </a:extLst>
        </xdr:cNvPr>
        <xdr:cNvSpPr txBox="1"/>
      </xdr:nvSpPr>
      <xdr:spPr>
        <a:xfrm>
          <a:off x="12707696" y="1670242"/>
          <a:ext cx="2055091" cy="361759"/>
        </a:xfrm>
        <a:prstGeom prst="rect">
          <a:avLst/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Branch</a:t>
          </a:r>
          <a:r>
            <a:rPr lang="en-IN" sz="1600" b="1" baseline="0"/>
            <a:t> Wise Count</a:t>
          </a:r>
          <a:endParaRPr lang="en-IN" sz="1600" b="1"/>
        </a:p>
      </xdr:txBody>
    </xdr:sp>
    <xdr:clientData/>
  </xdr:twoCellAnchor>
  <xdr:twoCellAnchor>
    <xdr:from>
      <xdr:col>20</xdr:col>
      <xdr:colOff>515697</xdr:colOff>
      <xdr:row>11</xdr:row>
      <xdr:rowOff>7721</xdr:rowOff>
    </xdr:from>
    <xdr:to>
      <xdr:col>25</xdr:col>
      <xdr:colOff>361758</xdr:colOff>
      <xdr:row>21</xdr:row>
      <xdr:rowOff>161635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57CC6E-F028-4239-B1B1-31F36603AD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12035</xdr:colOff>
      <xdr:row>25</xdr:row>
      <xdr:rowOff>61784</xdr:rowOff>
    </xdr:from>
    <xdr:to>
      <xdr:col>10</xdr:col>
      <xdr:colOff>10298</xdr:colOff>
      <xdr:row>36</xdr:row>
      <xdr:rowOff>154458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C127739-5E07-4229-85F6-8324B90EB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195649</xdr:colOff>
      <xdr:row>23</xdr:row>
      <xdr:rowOff>113270</xdr:rowOff>
    </xdr:from>
    <xdr:to>
      <xdr:col>8</xdr:col>
      <xdr:colOff>195649</xdr:colOff>
      <xdr:row>26</xdr:row>
      <xdr:rowOff>10297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E53B81E-43D4-4B24-B4C7-14C544A3B4A1}"/>
            </a:ext>
          </a:extLst>
        </xdr:cNvPr>
        <xdr:cNvSpPr txBox="1"/>
      </xdr:nvSpPr>
      <xdr:spPr>
        <a:xfrm>
          <a:off x="1410730" y="4376351"/>
          <a:ext cx="3645243" cy="453081"/>
        </a:xfrm>
        <a:prstGeom prst="rect">
          <a:avLst/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 baseline="0"/>
            <a:t>S &amp; F Rate of Donars</a:t>
          </a:r>
          <a:endParaRPr lang="en-IN" sz="1800" b="1"/>
        </a:p>
      </xdr:txBody>
    </xdr:sp>
    <xdr:clientData/>
  </xdr:twoCellAnchor>
  <xdr:twoCellAnchor>
    <xdr:from>
      <xdr:col>15</xdr:col>
      <xdr:colOff>545757</xdr:colOff>
      <xdr:row>25</xdr:row>
      <xdr:rowOff>72081</xdr:rowOff>
    </xdr:from>
    <xdr:to>
      <xdr:col>25</xdr:col>
      <xdr:colOff>319216</xdr:colOff>
      <xdr:row>37</xdr:row>
      <xdr:rowOff>20595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ED40B65-0986-4A8F-A012-E998D133D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525163</xdr:colOff>
      <xdr:row>23</xdr:row>
      <xdr:rowOff>82378</xdr:rowOff>
    </xdr:from>
    <xdr:to>
      <xdr:col>23</xdr:col>
      <xdr:colOff>257433</xdr:colOff>
      <xdr:row>26</xdr:row>
      <xdr:rowOff>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58A3B96-E610-10EB-8E13-6064A76FF282}"/>
            </a:ext>
          </a:extLst>
        </xdr:cNvPr>
        <xdr:cNvSpPr txBox="1"/>
      </xdr:nvSpPr>
      <xdr:spPr>
        <a:xfrm>
          <a:off x="9638271" y="4345459"/>
          <a:ext cx="4592594" cy="473676"/>
        </a:xfrm>
        <a:prstGeom prst="rect">
          <a:avLst/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Area Wise</a:t>
          </a:r>
          <a:r>
            <a:rPr lang="en-IN" sz="1800" b="1" baseline="0"/>
            <a:t> Response Count to Donate</a:t>
          </a:r>
          <a:endParaRPr lang="en-IN" sz="1800" b="1"/>
        </a:p>
      </xdr:txBody>
    </xdr:sp>
    <xdr:clientData/>
  </xdr:twoCellAnchor>
  <xdr:twoCellAnchor>
    <xdr:from>
      <xdr:col>13</xdr:col>
      <xdr:colOff>172441</xdr:colOff>
      <xdr:row>3</xdr:row>
      <xdr:rowOff>28438</xdr:rowOff>
    </xdr:from>
    <xdr:to>
      <xdr:col>17</xdr:col>
      <xdr:colOff>159903</xdr:colOff>
      <xdr:row>8</xdr:row>
      <xdr:rowOff>12362</xdr:rowOff>
    </xdr:to>
    <xdr:sp macro="" textlink="">
      <xdr:nvSpPr>
        <xdr:cNvPr id="9" name="ctsales">
          <a:extLst>
            <a:ext uri="{FF2B5EF4-FFF2-40B4-BE49-F238E27FC236}">
              <a16:creationId xmlns:a16="http://schemas.microsoft.com/office/drawing/2014/main" id="{543B32BD-73EA-58AF-0B2A-97AEE327CAC5}"/>
            </a:ext>
          </a:extLst>
        </xdr:cNvPr>
        <xdr:cNvSpPr/>
      </xdr:nvSpPr>
      <xdr:spPr>
        <a:xfrm>
          <a:off x="8070468" y="584492"/>
          <a:ext cx="2417624" cy="910681"/>
        </a:xfrm>
        <a:prstGeom prst="roundRect">
          <a:avLst>
            <a:gd name="adj" fmla="val 12052"/>
          </a:avLst>
        </a:prstGeom>
        <a:pattFill prst="pct5">
          <a:fgClr>
            <a:srgbClr val="FFFFFF"/>
          </a:fgClr>
          <a:bgClr>
            <a:schemeClr val="bg1"/>
          </a:bgClr>
        </a:pattFill>
        <a:ln w="19050" cap="flat" cmpd="sng" algn="ctr">
          <a:gradFill>
            <a:gsLst>
              <a:gs pos="72000">
                <a:srgbClr val="76C5E9"/>
              </a:gs>
              <a:gs pos="0">
                <a:schemeClr val="accent1">
                  <a:lumMod val="5000"/>
                  <a:lumOff val="95000"/>
                </a:schemeClr>
              </a:gs>
              <a:gs pos="8000">
                <a:schemeClr val="accent1">
                  <a:lumMod val="45000"/>
                  <a:lumOff val="55000"/>
                </a:schemeClr>
              </a:gs>
              <a:gs pos="0">
                <a:schemeClr val="accent1">
                  <a:lumMod val="45000"/>
                  <a:lumOff val="55000"/>
                </a:schemeClr>
              </a:gs>
              <a:gs pos="18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prstDash val="solid"/>
          <a:miter lim="800000"/>
        </a:ln>
        <a:effectLst>
          <a:glow rad="63500">
            <a:schemeClr val="accent1">
              <a:lumMod val="20000"/>
              <a:lumOff val="80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202069</xdr:colOff>
      <xdr:row>3</xdr:row>
      <xdr:rowOff>89465</xdr:rowOff>
    </xdr:from>
    <xdr:to>
      <xdr:col>16</xdr:col>
      <xdr:colOff>586945</xdr:colOff>
      <xdr:row>5</xdr:row>
      <xdr:rowOff>138947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3AD1427-11B0-2717-C6CA-1E1D8695E86F}"/>
            </a:ext>
          </a:extLst>
        </xdr:cNvPr>
        <xdr:cNvSpPr txBox="1"/>
      </xdr:nvSpPr>
      <xdr:spPr>
        <a:xfrm>
          <a:off x="8100096" y="645519"/>
          <a:ext cx="2207498" cy="420185"/>
        </a:xfrm>
        <a:prstGeom prst="rect">
          <a:avLst/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Total</a:t>
          </a:r>
          <a:r>
            <a:rPr lang="en-IN" sz="1600" b="1" baseline="0"/>
            <a:t> Blood Requests</a:t>
          </a:r>
          <a:endParaRPr lang="en-IN" sz="1800" b="1"/>
        </a:p>
      </xdr:txBody>
    </xdr:sp>
    <xdr:clientData/>
  </xdr:twoCellAnchor>
  <xdr:twoCellAnchor>
    <xdr:from>
      <xdr:col>15</xdr:col>
      <xdr:colOff>525163</xdr:colOff>
      <xdr:row>5</xdr:row>
      <xdr:rowOff>20595</xdr:rowOff>
    </xdr:from>
    <xdr:to>
      <xdr:col>16</xdr:col>
      <xdr:colOff>545757</xdr:colOff>
      <xdr:row>7</xdr:row>
      <xdr:rowOff>113271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4DC1E97-72FF-FA1B-2D09-68A35D20C11F}"/>
            </a:ext>
          </a:extLst>
        </xdr:cNvPr>
        <xdr:cNvSpPr txBox="1"/>
      </xdr:nvSpPr>
      <xdr:spPr>
        <a:xfrm>
          <a:off x="9638271" y="947352"/>
          <a:ext cx="628135" cy="463378"/>
        </a:xfrm>
        <a:prstGeom prst="rect">
          <a:avLst/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0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</a:t>
          </a:r>
          <a:r>
            <a:rPr lang="en-IN" sz="2000">
              <a:effectLst/>
            </a:rPr>
            <a:t> </a:t>
          </a:r>
          <a:endParaRPr lang="en-IN" sz="2000"/>
        </a:p>
      </xdr:txBody>
    </xdr:sp>
    <xdr:clientData/>
  </xdr:twoCellAnchor>
  <xdr:twoCellAnchor>
    <xdr:from>
      <xdr:col>10</xdr:col>
      <xdr:colOff>401954</xdr:colOff>
      <xdr:row>25</xdr:row>
      <xdr:rowOff>140677</xdr:rowOff>
    </xdr:from>
    <xdr:to>
      <xdr:col>15</xdr:col>
      <xdr:colOff>128954</xdr:colOff>
      <xdr:row>36</xdr:row>
      <xdr:rowOff>175845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75B529-94F4-4822-BFA7-23789EBD1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398585</xdr:colOff>
      <xdr:row>23</xdr:row>
      <xdr:rowOff>152400</xdr:rowOff>
    </xdr:from>
    <xdr:to>
      <xdr:col>14</xdr:col>
      <xdr:colOff>316523</xdr:colOff>
      <xdr:row>25</xdr:row>
      <xdr:rowOff>105507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C2E95F9-5D14-F250-ED88-FEC045143B79}"/>
            </a:ext>
          </a:extLst>
        </xdr:cNvPr>
        <xdr:cNvSpPr txBox="1"/>
      </xdr:nvSpPr>
      <xdr:spPr>
        <a:xfrm>
          <a:off x="6494585" y="4466492"/>
          <a:ext cx="2356338" cy="328246"/>
        </a:xfrm>
        <a:prstGeom prst="rect">
          <a:avLst/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Count of</a:t>
          </a:r>
          <a:r>
            <a:rPr lang="en-IN" sz="1600" b="1" baseline="0"/>
            <a:t> Donar Response</a:t>
          </a:r>
          <a:endParaRPr lang="en-IN" sz="1600" b="1"/>
        </a:p>
      </xdr:txBody>
    </xdr:sp>
    <xdr:clientData/>
  </xdr:twoCellAnchor>
  <xdr:twoCellAnchor editAs="oneCell">
    <xdr:from>
      <xdr:col>2</xdr:col>
      <xdr:colOff>105507</xdr:colOff>
      <xdr:row>4</xdr:row>
      <xdr:rowOff>11723</xdr:rowOff>
    </xdr:from>
    <xdr:to>
      <xdr:col>4</xdr:col>
      <xdr:colOff>164122</xdr:colOff>
      <xdr:row>7</xdr:row>
      <xdr:rowOff>154798</xdr:rowOff>
    </xdr:to>
    <xdr:pic>
      <xdr:nvPicPr>
        <xdr:cNvPr id="14" name="Graphic 13" descr="Care with solid fill">
          <a:extLst>
            <a:ext uri="{FF2B5EF4-FFF2-40B4-BE49-F238E27FC236}">
              <a16:creationId xmlns:a16="http://schemas.microsoft.com/office/drawing/2014/main" id="{07F0152B-791E-A0A1-B8D9-8F7954182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24707" y="762000"/>
          <a:ext cx="1277815" cy="705783"/>
        </a:xfrm>
        <a:prstGeom prst="rect">
          <a:avLst/>
        </a:prstGeom>
      </xdr:spPr>
    </xdr:pic>
    <xdr:clientData/>
  </xdr:twoCellAnchor>
  <xdr:twoCellAnchor>
    <xdr:from>
      <xdr:col>4</xdr:col>
      <xdr:colOff>492369</xdr:colOff>
      <xdr:row>4</xdr:row>
      <xdr:rowOff>35169</xdr:rowOff>
    </xdr:from>
    <xdr:to>
      <xdr:col>8</xdr:col>
      <xdr:colOff>386861</xdr:colOff>
      <xdr:row>7</xdr:row>
      <xdr:rowOff>58615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96D746B-5848-165A-40FE-D94353AA5BEE}"/>
            </a:ext>
          </a:extLst>
        </xdr:cNvPr>
        <xdr:cNvSpPr txBox="1"/>
      </xdr:nvSpPr>
      <xdr:spPr>
        <a:xfrm>
          <a:off x="2930769" y="785446"/>
          <a:ext cx="2332892" cy="586154"/>
        </a:xfrm>
        <a:prstGeom prst="rect">
          <a:avLst/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3600" b="1">
              <a:latin typeface="Abadi" panose="020B0604020104020204" pitchFamily="34" charset="0"/>
            </a:rPr>
            <a:t>Help Loop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1359519</xdr:colOff>
      <xdr:row>15</xdr:row>
      <xdr:rowOff>176561</xdr:rowOff>
    </xdr:from>
    <xdr:ext cx="1669895" cy="19514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D69257D-12B8-D7E9-FEDE-1115F80E1A6E}"/>
            </a:ext>
          </a:extLst>
        </xdr:cNvPr>
        <xdr:cNvSpPr txBox="1"/>
      </xdr:nvSpPr>
      <xdr:spPr>
        <a:xfrm>
          <a:off x="8607812" y="2964366"/>
          <a:ext cx="1669895" cy="195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endParaRPr lang="en-IN" sz="1100"/>
        </a:p>
      </xdr:txBody>
    </xdr:sp>
    <xdr:clientData/>
  </xdr:oneCellAnchor>
  <xdr:twoCellAnchor>
    <xdr:from>
      <xdr:col>4</xdr:col>
      <xdr:colOff>678366</xdr:colOff>
      <xdr:row>33</xdr:row>
      <xdr:rowOff>87351</xdr:rowOff>
    </xdr:from>
    <xdr:to>
      <xdr:col>8</xdr:col>
      <xdr:colOff>223024</xdr:colOff>
      <xdr:row>48</xdr:row>
      <xdr:rowOff>42746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1F069A-F4E6-79EE-8DAF-BB92D7E9C4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rath chandra patruni" refreshedDate="45869.999432291668" createdVersion="8" refreshedVersion="8" minRefreshableVersion="3" recordCount="36" xr:uid="{996631CA-C7F5-4CB5-88C6-D2A64137FEAE}">
  <cacheSource type="worksheet">
    <worksheetSource name="Table_query__2"/>
  </cacheSource>
  <cacheFields count="8">
    <cacheField name="Title" numFmtId="49">
      <sharedItems count="36">
        <s v="sarath Patruni"/>
        <s v="Varshini"/>
        <s v="Ayush"/>
        <s v="kavya sri"/>
        <s v="Nithin"/>
        <s v="Adarsh"/>
        <s v="Rahul"/>
        <s v="Laxmi"/>
        <s v="Ramesh"/>
        <s v="Ragav"/>
        <s v="Roshini"/>
        <s v="Rajesh"/>
        <s v="Susrutha"/>
        <s v="Ganesh Bhargav Balivada"/>
        <s v="Charan Teja "/>
        <s v="Pujitha Balivada"/>
        <s v="Sarayu"/>
        <s v="Nithish"/>
        <s v="Ram Mohan"/>
        <s v="Suresh Kumar"/>
        <s v="Rama Sekhar"/>
        <s v="siddardh Baga"/>
        <s v="Harshith Panigrahi"/>
        <s v="dinesh"/>
        <s v="varun"/>
        <s v="sarath"/>
        <s v="preetham"/>
        <s v="Harsha vardhan"/>
        <s v="Dhanumjay"/>
        <s v="Balu nanda kishore"/>
        <s v="vamsi krishan"/>
        <s v="sai ram"/>
        <s v="yogesh"/>
        <s v="sowmith"/>
        <s v="srinadh"/>
        <s v="jyoshna"/>
      </sharedItems>
    </cacheField>
    <cacheField name="DonerEmail" numFmtId="49">
      <sharedItems count="36">
        <s v="sarathpatruni2@gmail.com"/>
        <s v="23A91A6153@aec.edu.in"/>
        <s v="aymasi2004@gmail.com"/>
        <s v="23mh1a4268@acoe.edu.in"/>
        <s v="nithinpatnaikuni55@gmail.com"/>
        <s v="adarshsah5153@gmail.com"/>
        <s v="rahul@gmail.com"/>
        <s v="Laxmi23@gmail.com"/>
        <s v="42ramesh@gmail.com"/>
        <s v="ragav@gmail.com"/>
        <s v="roshini@gmail.com"/>
        <s v="rajeshbuddiga@gmail.com"/>
        <s v="susrutha@gmail.com"/>
        <s v="ganeshbhargav@gmail.com"/>
        <s v="charan@gmail.com"/>
        <s v="pujithabalivada@gmail.com"/>
        <s v="sarayu@gmail.com"/>
        <s v="nithish@gmail.com"/>
        <s v="mohan@gmail.com"/>
        <s v="suresh@gmail.com"/>
        <s v="sekhar@gmail.com"/>
        <s v="siddardhbaga@gmail.com"/>
        <s v="harshithpanigrahi@gmail.com"/>
        <s v="dinesh123@gmail.com"/>
        <s v="varun4567@gmail.com"/>
        <s v="sarathpaturni@gmail.com"/>
        <s v="preetham143@gmail.com"/>
        <s v="harshapotti@gmail.com"/>
        <s v="dhanu456@gmail.com"/>
        <s v="baluyt@gmail.com"/>
        <s v="vamsi98@gmail.com"/>
        <s v="sairam@gmail.com"/>
        <s v="yogi@gmail.com"/>
        <s v="lucky@gmail.com"/>
        <s v="srinadh@gmail.com"/>
        <s v="23mh1a4206@acoe.edu.in"/>
      </sharedItems>
    </cacheField>
    <cacheField name="BloodGroup" numFmtId="49">
      <sharedItems count="5">
        <s v="AB+"/>
        <s v="B+"/>
        <s v="B-"/>
        <s v="O+"/>
        <s v="A-"/>
      </sharedItems>
    </cacheField>
    <cacheField name="Phone no." numFmtId="0">
      <sharedItems containsSemiMixedTypes="0" containsString="0" containsNumber="1" containsInteger="1" minValue="628102919" maxValue="75858759757"/>
    </cacheField>
    <cacheField name="Location" numFmtId="49">
      <sharedItems count="5">
        <s v="Near SamalKot"/>
        <s v="Near Kakinada"/>
        <s v="Near Yanam"/>
        <s v="Near Aditya University"/>
        <s v="Near Rajahmundry"/>
      </sharedItems>
    </cacheField>
    <cacheField name="Dtailed location" numFmtId="0">
      <sharedItems/>
    </cacheField>
    <cacheField name="Course" numFmtId="49">
      <sharedItems count="6">
        <s v="BBA"/>
        <s v="B-tech"/>
        <s v="MBA"/>
        <s v="MCA"/>
        <s v="M-tech"/>
        <s v="Btech"/>
      </sharedItems>
    </cacheField>
    <cacheField name="Academic year" numFmtId="0">
      <sharedItems containsSemiMixedTypes="0" containsString="0" containsNumber="1" containsInteger="1" minValue="1" maxValue="4" count="4">
        <n v="1"/>
        <n v="2"/>
        <n v="3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rath chandra patruni" refreshedDate="45870.645478587961" createdVersion="8" refreshedVersion="8" minRefreshableVersion="3" recordCount="50" xr:uid="{47543201-574D-4060-803D-BE9A08CCAE52}">
  <cacheSource type="worksheet">
    <worksheetSource name="BlooodRequests"/>
  </cacheSource>
  <cacheFields count="10">
    <cacheField name="Title" numFmtId="0">
      <sharedItems/>
    </cacheField>
    <cacheField name="RquesterMail" numFmtId="0">
      <sharedItems count="50">
        <s v="24maanayush@gmail.com"/>
        <s v="kalyani@gmail.com"/>
        <s v="surekha@gmail.com"/>
        <s v="santhosh@gmail.com"/>
        <s v="ram@gmail.com"/>
        <s v="preethi@gmail.com"/>
        <s v="pranav@gmail.com"/>
        <s v="pradeep@gmail.com"/>
        <s v="uma@gmail.com"/>
        <s v="sarvani@gmail.com"/>
        <s v="sivakarthik@gmail.com"/>
        <s v="umasenkar@gmail.com"/>
        <s v="teja@gmail.com"/>
        <s v="srija@gmail.com"/>
        <s v="gunashekar@gmail.com"/>
        <s v="jyoshna@gmail.com"/>
        <s v="haritha@gmail.com"/>
        <s v="krishnapriya@gmail.com"/>
        <s v="vijaya@gmail.com"/>
        <s v="vagdevi@gmail.com"/>
        <s v="vivek@gmail.com"/>
        <s v="shivani@gmail.com"/>
        <s v="vasanthi@gmail.com"/>
        <s v="prathyusha@gmail.com"/>
        <s v="venkat@gmailcom"/>
        <s v="radha@gmail.com"/>
        <s v="sivathmika@gmail.com"/>
        <s v="ruparani@gmail.com"/>
        <s v="leelasri@gmail.com"/>
        <s v="alice@gmail.com"/>
        <s v="charlie@gmail.com"/>
        <s v="sriram@gmail.com"/>
        <s v="komali@gmail.com"/>
        <s v="chandrika@gmail.com"/>
        <s v="manikanta@gmail.com"/>
        <s v="bhanu@gmail.com"/>
        <s v="viswa@gmail.com"/>
        <s v="prasanth@gmail.com"/>
        <s v="kousalya@gmail.com"/>
        <s v="umamahi@gmail.com"/>
        <s v="ether@gmail.com"/>
        <s v="bhavya@gmail.com"/>
        <s v="lalitha@gmail.com"/>
        <s v="smiley@gmail.com"/>
        <s v="saraswathi@gmail.com"/>
        <s v="pavani@gmail.com"/>
        <s v="siva@gmail.com"/>
        <s v="neha23@gmail.com"/>
        <s v="koushik@gmail.com"/>
        <s v="teja456@gmail.com"/>
      </sharedItems>
    </cacheField>
    <cacheField name="RequestedBloodGroup" numFmtId="0">
      <sharedItems/>
    </cacheField>
    <cacheField name="Status" numFmtId="0">
      <sharedItems count="3">
        <s v="Doner found"/>
        <s v="No Doner Yet"/>
        <s v="cancelled"/>
      </sharedItems>
    </cacheField>
    <cacheField name="DonorResponse" numFmtId="0">
      <sharedItems count="2">
        <s v="Available"/>
        <s v="Unavailable"/>
      </sharedItems>
    </cacheField>
    <cacheField name="RespondingDonorName" numFmtId="0">
      <sharedItems/>
    </cacheField>
    <cacheField name="RespondingDonorEmail" numFmtId="0">
      <sharedItems/>
    </cacheField>
    <cacheField name="RespondingDonorContact" numFmtId="0">
      <sharedItems containsSemiMixedTypes="0" containsString="0" containsNumber="1" containsInteger="1" minValue="6010913153" maxValue="9967627014"/>
    </cacheField>
    <cacheField name="Location" numFmtId="0">
      <sharedItems count="7">
        <s v="kakinada"/>
        <s v="pedhapuram"/>
        <s v="yanam"/>
        <s v="surampalem"/>
        <s v="samarlakota"/>
        <s v="rajahmundry"/>
        <s v="rajhamundry"/>
      </sharedItems>
    </cacheField>
    <cacheField name="ID.1" numFmtId="0">
      <sharedItems containsSemiMixedTypes="0" containsString="0" containsNumber="1" containsInteger="1" minValue="6" maxValue="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x v="0"/>
    <n v="6281883544"/>
    <x v="0"/>
    <s v="Ramanujan Block"/>
    <x v="0"/>
    <x v="0"/>
  </r>
  <r>
    <x v="1"/>
    <x v="1"/>
    <x v="1"/>
    <n v="8309638209"/>
    <x v="0"/>
    <s v="RTC Complex"/>
    <x v="1"/>
    <x v="1"/>
  </r>
  <r>
    <x v="2"/>
    <x v="2"/>
    <x v="0"/>
    <n v="8294912279"/>
    <x v="1"/>
    <s v="Near Railway Station"/>
    <x v="2"/>
    <x v="0"/>
  </r>
  <r>
    <x v="3"/>
    <x v="3"/>
    <x v="1"/>
    <n v="9959336743"/>
    <x v="2"/>
    <s v="RTC Complex"/>
    <x v="0"/>
    <x v="2"/>
  </r>
  <r>
    <x v="4"/>
    <x v="4"/>
    <x v="2"/>
    <n v="628102919"/>
    <x v="1"/>
    <s v="SRMT"/>
    <x v="3"/>
    <x v="1"/>
  </r>
  <r>
    <x v="5"/>
    <x v="5"/>
    <x v="0"/>
    <n v="75858759757"/>
    <x v="1"/>
    <s v="RTC Complex"/>
    <x v="4"/>
    <x v="1"/>
  </r>
  <r>
    <x v="6"/>
    <x v="6"/>
    <x v="0"/>
    <n v="8921092190"/>
    <x v="0"/>
    <s v="bala cheruvu"/>
    <x v="1"/>
    <x v="0"/>
  </r>
  <r>
    <x v="7"/>
    <x v="7"/>
    <x v="1"/>
    <n v="7821818129"/>
    <x v="2"/>
    <s v="Beside Main Road"/>
    <x v="4"/>
    <x v="1"/>
  </r>
  <r>
    <x v="8"/>
    <x v="8"/>
    <x v="3"/>
    <n v="847923823"/>
    <x v="0"/>
    <s v="Railway Station"/>
    <x v="1"/>
    <x v="2"/>
  </r>
  <r>
    <x v="9"/>
    <x v="9"/>
    <x v="0"/>
    <n v="8432823298"/>
    <x v="0"/>
    <s v="Post office"/>
    <x v="1"/>
    <x v="3"/>
  </r>
  <r>
    <x v="10"/>
    <x v="10"/>
    <x v="1"/>
    <n v="8473828932"/>
    <x v="3"/>
    <s v="Ratan TATA Bhavan"/>
    <x v="0"/>
    <x v="2"/>
  </r>
  <r>
    <x v="11"/>
    <x v="11"/>
    <x v="0"/>
    <n v="8428282898"/>
    <x v="4"/>
    <s v="Namavaram"/>
    <x v="3"/>
    <x v="1"/>
  </r>
  <r>
    <x v="12"/>
    <x v="12"/>
    <x v="0"/>
    <n v="689543829"/>
    <x v="4"/>
    <s v="Bommuru"/>
    <x v="2"/>
    <x v="0"/>
  </r>
  <r>
    <x v="13"/>
    <x v="13"/>
    <x v="3"/>
    <n v="6459034202"/>
    <x v="1"/>
    <s v="Gas Office"/>
    <x v="4"/>
    <x v="1"/>
  </r>
  <r>
    <x v="14"/>
    <x v="14"/>
    <x v="3"/>
    <n v="6986453323"/>
    <x v="3"/>
    <s v="viswswaraya bhavan"/>
    <x v="3"/>
    <x v="0"/>
  </r>
  <r>
    <x v="15"/>
    <x v="15"/>
    <x v="4"/>
    <n v="6856433002"/>
    <x v="3"/>
    <s v="Girls Hostel"/>
    <x v="0"/>
    <x v="2"/>
  </r>
  <r>
    <x v="16"/>
    <x v="16"/>
    <x v="1"/>
    <n v="690494040"/>
    <x v="3"/>
    <s v="Girls Hostel"/>
    <x v="1"/>
    <x v="2"/>
  </r>
  <r>
    <x v="17"/>
    <x v="17"/>
    <x v="0"/>
    <n v="7956056499"/>
    <x v="4"/>
    <s v="back side of RTC Complex"/>
    <x v="0"/>
    <x v="1"/>
  </r>
  <r>
    <x v="18"/>
    <x v="18"/>
    <x v="0"/>
    <n v="7956909644"/>
    <x v="1"/>
    <s v="Railway Station"/>
    <x v="1"/>
    <x v="1"/>
  </r>
  <r>
    <x v="19"/>
    <x v="19"/>
    <x v="3"/>
    <n v="7895609404"/>
    <x v="2"/>
    <s v="Near Banyan Tree"/>
    <x v="4"/>
    <x v="0"/>
  </r>
  <r>
    <x v="20"/>
    <x v="20"/>
    <x v="1"/>
    <n v="7696095960"/>
    <x v="3"/>
    <s v="boys Hostel"/>
    <x v="1"/>
    <x v="2"/>
  </r>
  <r>
    <x v="21"/>
    <x v="21"/>
    <x v="1"/>
    <n v="6309559592"/>
    <x v="3"/>
    <s v="sri lakshmi Aditya students boys hostel_x000a_ADB road,surampalem_x000a_SURAMPALEM-533437_x000a_KAKINADA_x000a_EAST GODAVARI(DIST)_x000a_"/>
    <x v="4"/>
    <x v="1"/>
  </r>
  <r>
    <x v="22"/>
    <x v="22"/>
    <x v="0"/>
    <n v="9834756294"/>
    <x v="4"/>
    <s v="1-15,sompeta_x000a_bs colony ,sompeta_x000a_srikakulam dist"/>
    <x v="1"/>
    <x v="3"/>
  </r>
  <r>
    <x v="23"/>
    <x v="23"/>
    <x v="4"/>
    <n v="9845624565"/>
    <x v="2"/>
    <s v="1-56,gandhinagar street_x000a_yanam,andhra pradesh"/>
    <x v="0"/>
    <x v="0"/>
  </r>
  <r>
    <x v="24"/>
    <x v="24"/>
    <x v="0"/>
    <n v="983400234"/>
    <x v="0"/>
    <s v="3-45,guram chook street_x000a_peddapuram,samalkota_x000a_kakinada andhrapradesh"/>
    <x v="2"/>
    <x v="1"/>
  </r>
  <r>
    <x v="25"/>
    <x v="25"/>
    <x v="1"/>
    <n v="9866447593"/>
    <x v="3"/>
    <s v="1-34,aditya nagar,_x000a_rameshpetta,rajanagram_x000a_rajanagaram ,andhra pradesh"/>
    <x v="4"/>
    <x v="0"/>
  </r>
  <r>
    <x v="26"/>
    <x v="26"/>
    <x v="0"/>
    <n v="9877124334"/>
    <x v="0"/>
    <s v="3-56,ganesh nagar_x000a_peddapuram,_x000a_andhra pradesh"/>
    <x v="3"/>
    <x v="1"/>
  </r>
  <r>
    <x v="27"/>
    <x v="27"/>
    <x v="1"/>
    <n v="9854565220"/>
    <x v="1"/>
    <s v="1-34,rtc-complex_x000a_kakinada dist"/>
    <x v="1"/>
    <x v="3"/>
  </r>
  <r>
    <x v="28"/>
    <x v="28"/>
    <x v="4"/>
    <n v="9823358692"/>
    <x v="0"/>
    <s v="3-65,railwaystation_x000a_peddapuram "/>
    <x v="4"/>
    <x v="1"/>
  </r>
  <r>
    <x v="29"/>
    <x v="29"/>
    <x v="0"/>
    <n v="9876566463"/>
    <x v="3"/>
    <s v="1-45,aditya nagar_x000a_ramesampetta"/>
    <x v="0"/>
    <x v="0"/>
  </r>
  <r>
    <x v="30"/>
    <x v="30"/>
    <x v="3"/>
    <n v="9817334623"/>
    <x v="0"/>
    <s v="9-34,pattusali veedi_x000a_samalkot,andhra pradesh"/>
    <x v="2"/>
    <x v="0"/>
  </r>
  <r>
    <x v="31"/>
    <x v="31"/>
    <x v="3"/>
    <n v="9843773233"/>
    <x v="0"/>
    <s v="9-23,krishnna nagar_x000a_salamalkot,andhra praesh_x000a__x000a_"/>
    <x v="5"/>
    <x v="1"/>
  </r>
  <r>
    <x v="32"/>
    <x v="32"/>
    <x v="0"/>
    <n v="9842478901"/>
    <x v="3"/>
    <s v="2-54,sokullapalem street_x000a_suramplaem,andhra pradesh"/>
    <x v="0"/>
    <x v="2"/>
  </r>
  <r>
    <x v="33"/>
    <x v="33"/>
    <x v="3"/>
    <n v="9845573823"/>
    <x v="2"/>
    <s v="3-67,siddsai nagar_x000a_yanam,andhra pradesh"/>
    <x v="2"/>
    <x v="1"/>
  </r>
  <r>
    <x v="34"/>
    <x v="34"/>
    <x v="3"/>
    <n v="9871849232"/>
    <x v="3"/>
    <s v="2-56,netaji nagar_x000a_rameshpeta,andhra pradesh"/>
    <x v="3"/>
    <x v="0"/>
  </r>
  <r>
    <x v="35"/>
    <x v="35"/>
    <x v="1"/>
    <n v="32476219912"/>
    <x v="3"/>
    <s v="3-45,guram chook street_x000a_peddapuram,samalkota_x000a_kakinada andhrapradesh"/>
    <x v="4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deepak"/>
    <x v="0"/>
    <s v="AB+"/>
    <x v="0"/>
    <x v="0"/>
    <s v="samar"/>
    <s v="aymasi2004@gmail.com"/>
    <n v="9397192255"/>
    <x v="0"/>
    <n v="6"/>
  </r>
  <r>
    <s v="kalyani"/>
    <x v="1"/>
    <s v="AB+"/>
    <x v="1"/>
    <x v="1"/>
    <s v="keerthi"/>
    <s v="keerthi@gmail.com"/>
    <n v="6299646642"/>
    <x v="1"/>
    <n v="7"/>
  </r>
  <r>
    <s v="surekha"/>
    <x v="2"/>
    <s v="B+"/>
    <x v="0"/>
    <x v="0"/>
    <s v="karthik"/>
    <s v="karthik@gmail.com"/>
    <n v="7117701757"/>
    <x v="2"/>
    <n v="8"/>
  </r>
  <r>
    <s v="santhosh"/>
    <x v="3"/>
    <s v="O+"/>
    <x v="2"/>
    <x v="1"/>
    <s v="neha"/>
    <s v="neha@gmail.com"/>
    <n v="8960570640"/>
    <x v="3"/>
    <n v="9"/>
  </r>
  <r>
    <s v="ram"/>
    <x v="4"/>
    <s v="A-"/>
    <x v="0"/>
    <x v="0"/>
    <s v="siri"/>
    <s v="siri@gmail.com"/>
    <n v="9864520580"/>
    <x v="4"/>
    <n v="10"/>
  </r>
  <r>
    <s v="preethi"/>
    <x v="5"/>
    <s v="B+"/>
    <x v="1"/>
    <x v="1"/>
    <s v="satya"/>
    <s v="satya@gmail.com"/>
    <n v="7558200257"/>
    <x v="0"/>
    <n v="11"/>
  </r>
  <r>
    <s v="pranav"/>
    <x v="6"/>
    <s v="O+"/>
    <x v="0"/>
    <x v="0"/>
    <s v="kumari"/>
    <s v="kumari@gmail.com"/>
    <n v="6262644654"/>
    <x v="2"/>
    <n v="12"/>
  </r>
  <r>
    <s v="pradeep"/>
    <x v="7"/>
    <s v="AB+"/>
    <x v="2"/>
    <x v="1"/>
    <s v="chandhini"/>
    <s v="chandini@gmail.com"/>
    <n v="7528652238"/>
    <x v="3"/>
    <n v="13"/>
  </r>
  <r>
    <s v="uma"/>
    <x v="8"/>
    <s v="A-"/>
    <x v="0"/>
    <x v="0"/>
    <s v="vasavi"/>
    <s v="vasavu@gmail.com"/>
    <n v="9934235527"/>
    <x v="1"/>
    <n v="14"/>
  </r>
  <r>
    <s v="sarvani"/>
    <x v="9"/>
    <s v="O+"/>
    <x v="1"/>
    <x v="1"/>
    <s v="thanusha"/>
    <s v="thanusa@gmail.com"/>
    <n v="9306985039"/>
    <x v="2"/>
    <n v="15"/>
  </r>
  <r>
    <s v="sivakarthik"/>
    <x v="10"/>
    <s v="AB+"/>
    <x v="2"/>
    <x v="1"/>
    <s v="sreya"/>
    <s v="sreya@gmail.com"/>
    <n v="9219461882"/>
    <x v="4"/>
    <n v="16"/>
  </r>
  <r>
    <s v="umasenkar"/>
    <x v="11"/>
    <s v="B+"/>
    <x v="0"/>
    <x v="0"/>
    <s v="shenkar"/>
    <s v="shenkar@gmail.com"/>
    <n v="9038123369"/>
    <x v="3"/>
    <n v="17"/>
  </r>
  <r>
    <s v="teja"/>
    <x v="12"/>
    <s v="A+"/>
    <x v="1"/>
    <x v="1"/>
    <s v="aswini"/>
    <s v="aswini@gmail.com"/>
    <n v="7523066432"/>
    <x v="4"/>
    <n v="18"/>
  </r>
  <r>
    <s v="srija"/>
    <x v="13"/>
    <s v="A-"/>
    <x v="2"/>
    <x v="1"/>
    <s v="raji"/>
    <s v="raji@gmail.com"/>
    <n v="7243724427"/>
    <x v="0"/>
    <n v="19"/>
  </r>
  <r>
    <s v="gunashekar"/>
    <x v="14"/>
    <s v="O+"/>
    <x v="1"/>
    <x v="1"/>
    <s v="guna"/>
    <s v="guna@gmail.com"/>
    <n v="6519372485"/>
    <x v="1"/>
    <n v="20"/>
  </r>
  <r>
    <s v="jyoshna"/>
    <x v="15"/>
    <s v="AB+"/>
    <x v="0"/>
    <x v="0"/>
    <s v="suguna"/>
    <s v="suguna@gmail.com"/>
    <n v="6010913153"/>
    <x v="2"/>
    <n v="21"/>
  </r>
  <r>
    <s v="haritha"/>
    <x v="16"/>
    <s v="AB+"/>
    <x v="2"/>
    <x v="1"/>
    <s v="devi"/>
    <s v="devi@gmail.com"/>
    <n v="7085760586"/>
    <x v="0"/>
    <n v="22"/>
  </r>
  <r>
    <s v="krishnapriya"/>
    <x v="17"/>
    <s v="O+"/>
    <x v="0"/>
    <x v="1"/>
    <s v="priya"/>
    <s v="priya@gmail.com"/>
    <n v="9952246582"/>
    <x v="4"/>
    <n v="23"/>
  </r>
  <r>
    <s v="vijayalaksmi"/>
    <x v="18"/>
    <s v="A-"/>
    <x v="1"/>
    <x v="1"/>
    <s v="laksmi"/>
    <s v="laksmi@gmail.com"/>
    <n v="6618557363"/>
    <x v="1"/>
    <n v="24"/>
  </r>
  <r>
    <s v="vagdevi"/>
    <x v="19"/>
    <s v="B+"/>
    <x v="0"/>
    <x v="0"/>
    <s v="arya"/>
    <s v="arya@gmail.com"/>
    <n v="9967627014"/>
    <x v="5"/>
    <n v="25"/>
  </r>
  <r>
    <s v="vivek"/>
    <x v="20"/>
    <s v="O+"/>
    <x v="1"/>
    <x v="1"/>
    <s v="kishore"/>
    <s v="kishore@gmail.com"/>
    <n v="7338359237"/>
    <x v="2"/>
    <n v="26"/>
  </r>
  <r>
    <s v="shivani"/>
    <x v="21"/>
    <s v="A-"/>
    <x v="2"/>
    <x v="1"/>
    <s v="rakesh"/>
    <s v="rakesh@gmail.com"/>
    <n v="7268636642"/>
    <x v="6"/>
    <n v="27"/>
  </r>
  <r>
    <s v="vasanthi"/>
    <x v="22"/>
    <s v="O+"/>
    <x v="0"/>
    <x v="0"/>
    <s v="ramesh"/>
    <s v="ramesh@gmail.com"/>
    <n v="7810222203"/>
    <x v="0"/>
    <n v="28"/>
  </r>
  <r>
    <s v="prathyusha"/>
    <x v="23"/>
    <s v="A-"/>
    <x v="1"/>
    <x v="1"/>
    <s v="shalini"/>
    <s v="shalini@gmail.com"/>
    <n v="7253398138"/>
    <x v="1"/>
    <n v="29"/>
  </r>
  <r>
    <s v="venkatsai"/>
    <x v="24"/>
    <s v="A+"/>
    <x v="1"/>
    <x v="1"/>
    <s v="saisruthi"/>
    <s v="saisruthi@gmail.com"/>
    <n v="7566608866"/>
    <x v="6"/>
    <n v="30"/>
  </r>
  <r>
    <s v="radhakumari"/>
    <x v="25"/>
    <s v="A-"/>
    <x v="2"/>
    <x v="1"/>
    <s v="krishnavenkat"/>
    <s v="krishna@gmail.com"/>
    <n v="6399651340"/>
    <x v="4"/>
    <n v="31"/>
  </r>
  <r>
    <s v="sivathmika"/>
    <x v="26"/>
    <s v="O+"/>
    <x v="0"/>
    <x v="0"/>
    <s v="parvathi"/>
    <s v="parvathi@gmail.com"/>
    <n v="7273935582"/>
    <x v="3"/>
    <n v="32"/>
  </r>
  <r>
    <s v="ruparani"/>
    <x v="27"/>
    <s v="O+"/>
    <x v="2"/>
    <x v="1"/>
    <s v="rani"/>
    <s v="rani@gmail.com"/>
    <n v="6207487209"/>
    <x v="0"/>
    <n v="33"/>
  </r>
  <r>
    <s v="leelasri"/>
    <x v="28"/>
    <s v="O+"/>
    <x v="1"/>
    <x v="1"/>
    <s v="srinivas"/>
    <s v="srinivas@gmail.com"/>
    <n v="9335923333"/>
    <x v="6"/>
    <n v="34"/>
  </r>
  <r>
    <s v="alice"/>
    <x v="29"/>
    <s v="A-"/>
    <x v="2"/>
    <x v="1"/>
    <s v="bob"/>
    <s v="bob@gmail.com"/>
    <n v="9385213288"/>
    <x v="2"/>
    <n v="35"/>
  </r>
  <r>
    <s v="charlie"/>
    <x v="30"/>
    <s v="O+"/>
    <x v="0"/>
    <x v="0"/>
    <s v="daniel"/>
    <s v="daniel@gmail.com"/>
    <n v="6893881499"/>
    <x v="3"/>
    <n v="36"/>
  </r>
  <r>
    <s v="sriram"/>
    <x v="31"/>
    <s v="AB+"/>
    <x v="1"/>
    <x v="1"/>
    <s v="surya"/>
    <s v="surya@gmail.com"/>
    <n v="7346529363"/>
    <x v="4"/>
    <n v="37"/>
  </r>
  <r>
    <s v="komali"/>
    <x v="32"/>
    <s v="O+"/>
    <x v="2"/>
    <x v="1"/>
    <s v="archana"/>
    <s v="archana@gmail.com"/>
    <n v="9480397191"/>
    <x v="0"/>
    <n v="38"/>
  </r>
  <r>
    <s v="chandrika"/>
    <x v="33"/>
    <s v="A-"/>
    <x v="2"/>
    <x v="1"/>
    <s v="harsha"/>
    <s v="harsha@gmail.com"/>
    <n v="8318109394"/>
    <x v="3"/>
    <n v="39"/>
  </r>
  <r>
    <s v="manikanta"/>
    <x v="34"/>
    <s v="AB+"/>
    <x v="0"/>
    <x v="0"/>
    <s v="prasad"/>
    <s v="prasad@gmail.com"/>
    <n v="9498378838"/>
    <x v="6"/>
    <n v="40"/>
  </r>
  <r>
    <s v="bhanushenkar"/>
    <x v="35"/>
    <s v="AB+"/>
    <x v="0"/>
    <x v="1"/>
    <s v="manvika"/>
    <s v="manvika@gmail.com"/>
    <n v="9081996577"/>
    <x v="1"/>
    <n v="41"/>
  </r>
  <r>
    <s v="viswanadh"/>
    <x v="36"/>
    <s v="B-"/>
    <x v="0"/>
    <x v="0"/>
    <s v="kaplana"/>
    <s v="kaplana@gmail.com"/>
    <n v="6607826651"/>
    <x v="2"/>
    <n v="42"/>
  </r>
  <r>
    <s v="prasanth"/>
    <x v="37"/>
    <s v="B-"/>
    <x v="1"/>
    <x v="1"/>
    <s v="prasanthi"/>
    <s v="prasanthi@gmail.com"/>
    <n v="9801706716"/>
    <x v="0"/>
    <n v="43"/>
  </r>
  <r>
    <s v="kousalya"/>
    <x v="38"/>
    <s v="A-"/>
    <x v="1"/>
    <x v="1"/>
    <s v="supradha"/>
    <s v="supradha@gmail.com"/>
    <n v="8188360668"/>
    <x v="3"/>
    <n v="44"/>
  </r>
  <r>
    <s v="umamaheswar"/>
    <x v="39"/>
    <s v="B+"/>
    <x v="2"/>
    <x v="1"/>
    <s v="mahesh"/>
    <s v="mahi@gmail.com"/>
    <n v="7366837036"/>
    <x v="1"/>
    <n v="45"/>
  </r>
  <r>
    <s v="astherether"/>
    <x v="40"/>
    <s v="O+"/>
    <x v="2"/>
    <x v="1"/>
    <s v="estheruma"/>
    <s v="asther@gmail.com"/>
    <n v="6821085497"/>
    <x v="0"/>
    <n v="46"/>
  </r>
  <r>
    <s v="bhavyasri"/>
    <x v="41"/>
    <s v="AB+"/>
    <x v="1"/>
    <x v="1"/>
    <s v="madhu"/>
    <s v="madhu@gmail.com"/>
    <n v="7039469476"/>
    <x v="3"/>
    <n v="47"/>
  </r>
  <r>
    <s v="lalitha"/>
    <x v="42"/>
    <s v="O-"/>
    <x v="0"/>
    <x v="1"/>
    <s v="ramana"/>
    <s v="ramana@gmail.com"/>
    <n v="9353235862"/>
    <x v="6"/>
    <n v="48"/>
  </r>
  <r>
    <s v="smileyradha"/>
    <x v="43"/>
    <s v="AB-"/>
    <x v="0"/>
    <x v="0"/>
    <s v="rosy"/>
    <s v="rosy@gmail.com"/>
    <n v="9708760429"/>
    <x v="2"/>
    <n v="49"/>
  </r>
  <r>
    <s v="saraswathi"/>
    <x v="44"/>
    <s v="A-"/>
    <x v="1"/>
    <x v="1"/>
    <s v="swathi"/>
    <s v="swathi2gmail.com"/>
    <n v="7587245730"/>
    <x v="3"/>
    <n v="50"/>
  </r>
  <r>
    <s v="pavaniswpana"/>
    <x v="45"/>
    <s v="O-"/>
    <x v="0"/>
    <x v="0"/>
    <s v="chemanhti"/>
    <s v="chemanthi@gmail.com"/>
    <n v="7476705530"/>
    <x v="6"/>
    <n v="51"/>
  </r>
  <r>
    <s v="sivasathi"/>
    <x v="46"/>
    <s v="B-"/>
    <x v="1"/>
    <x v="1"/>
    <s v="sathvikkumar"/>
    <s v="kumar@gmail.com"/>
    <n v="6755780134"/>
    <x v="0"/>
    <n v="52"/>
  </r>
  <r>
    <s v="nehaswini"/>
    <x v="47"/>
    <s v="AB+"/>
    <x v="1"/>
    <x v="1"/>
    <s v="bhavani"/>
    <s v="bhavani@gmail.com"/>
    <n v="6524991898"/>
    <x v="2"/>
    <n v="53"/>
  </r>
  <r>
    <s v="koushik"/>
    <x v="48"/>
    <s v="O+"/>
    <x v="1"/>
    <x v="1"/>
    <s v="kamal"/>
    <s v="kamla@gmail.com"/>
    <n v="6692832393"/>
    <x v="0"/>
    <n v="54"/>
  </r>
  <r>
    <s v="sahithiteja"/>
    <x v="49"/>
    <s v="O-"/>
    <x v="2"/>
    <x v="1"/>
    <s v="tejaprasad"/>
    <s v="prasad2356@gmail.com"/>
    <n v="9882362615"/>
    <x v="1"/>
    <n v="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A88179-93A6-4EDF-BAF2-D2ECEF8F145D}" name="PivotTable3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D42:E45" firstHeaderRow="1" firstDataRow="1" firstDataCol="1"/>
  <pivotFields count="10"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DonorResponse" fld="4" subtotal="count" baseField="0" baseItem="0"/>
  </dataFields>
  <chartFormats count="4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8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E4B7C8-786E-459E-9526-8A697D242C97}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I23:J27" firstHeaderRow="1" firstDataRow="1" firstDataCol="1"/>
  <pivotFields count="10">
    <pivotField dataField="1"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Title" fld="0" subtotal="count" baseField="0" baseItem="0"/>
  </dataFields>
  <chartFormats count="4"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0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FD074-8ACC-479C-A9FF-CB46D1473876}" name="PivotTable1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22:F23" firstHeaderRow="1" firstDataRow="1" firstDataCol="0"/>
  <pivotFields count="8">
    <pivotField dataField="1" showAll="0">
      <items count="37">
        <item x="5"/>
        <item x="2"/>
        <item x="29"/>
        <item x="14"/>
        <item x="28"/>
        <item x="23"/>
        <item x="13"/>
        <item x="27"/>
        <item x="22"/>
        <item x="35"/>
        <item x="3"/>
        <item x="7"/>
        <item x="4"/>
        <item x="17"/>
        <item x="26"/>
        <item x="15"/>
        <item x="9"/>
        <item x="6"/>
        <item x="11"/>
        <item x="18"/>
        <item x="20"/>
        <item x="8"/>
        <item x="10"/>
        <item x="31"/>
        <item x="25"/>
        <item x="0"/>
        <item x="16"/>
        <item x="21"/>
        <item x="33"/>
        <item x="34"/>
        <item x="19"/>
        <item x="12"/>
        <item x="30"/>
        <item x="1"/>
        <item x="24"/>
        <item x="32"/>
        <item t="default"/>
      </items>
    </pivotField>
    <pivotField showAll="0"/>
    <pivotField showAll="0">
      <items count="6">
        <item x="4"/>
        <item x="0"/>
        <item x="2"/>
        <item x="1"/>
        <item x="3"/>
        <item t="default"/>
      </items>
    </pivotField>
    <pivotField showAll="0"/>
    <pivotField showAll="0">
      <items count="6">
        <item x="3"/>
        <item x="1"/>
        <item x="4"/>
        <item x="0"/>
        <item x="2"/>
        <item t="default"/>
      </items>
    </pivotField>
    <pivotField showAll="0"/>
    <pivotField showAll="0"/>
    <pivotField showAll="0"/>
  </pivotFields>
  <rowItems count="1">
    <i/>
  </rowItems>
  <colItems count="1">
    <i/>
  </colItems>
  <dataFields count="1">
    <dataField name="Count of Titl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C16776-D2A7-44EF-8C21-08EAC30B9018}" name="PivotTable1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C8:D14" firstHeaderRow="1" firstDataRow="1" firstDataCol="1"/>
  <pivotFields count="8">
    <pivotField dataField="1" showAll="0">
      <items count="37">
        <item x="5"/>
        <item x="2"/>
        <item x="29"/>
        <item x="14"/>
        <item x="28"/>
        <item x="23"/>
        <item x="13"/>
        <item x="27"/>
        <item x="22"/>
        <item x="35"/>
        <item x="3"/>
        <item x="7"/>
        <item x="4"/>
        <item x="17"/>
        <item x="26"/>
        <item x="15"/>
        <item x="9"/>
        <item x="6"/>
        <item x="11"/>
        <item x="18"/>
        <item x="20"/>
        <item x="8"/>
        <item x="10"/>
        <item x="31"/>
        <item x="25"/>
        <item x="0"/>
        <item x="16"/>
        <item x="21"/>
        <item x="33"/>
        <item x="34"/>
        <item x="19"/>
        <item x="12"/>
        <item x="30"/>
        <item x="1"/>
        <item x="24"/>
        <item x="32"/>
        <item t="default"/>
      </items>
    </pivotField>
    <pivotField showAll="0"/>
    <pivotField axis="axisRow" showAll="0">
      <items count="6">
        <item x="4"/>
        <item x="0"/>
        <item x="2"/>
        <item x="1"/>
        <item x="3"/>
        <item t="default"/>
      </items>
    </pivotField>
    <pivotField showAll="0"/>
    <pivotField showAll="0">
      <items count="6">
        <item x="3"/>
        <item x="1"/>
        <item x="4"/>
        <item x="0"/>
        <item x="2"/>
        <item t="default"/>
      </items>
    </pivotField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Title" fld="0" subtotal="count" baseField="0" baseItem="0"/>
  </dataFields>
  <chartFormats count="18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783358-32E8-4AE6-B979-6E2B99F0660E}" name="PivotTabl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4" firstHeaderRow="1" firstDataRow="1" firstDataCol="0"/>
  <pivotFields count="8">
    <pivotField dataField="1" showAll="0">
      <items count="37">
        <item x="5"/>
        <item x="2"/>
        <item x="29"/>
        <item x="14"/>
        <item x="28"/>
        <item x="23"/>
        <item x="13"/>
        <item x="27"/>
        <item x="22"/>
        <item x="35"/>
        <item x="3"/>
        <item x="7"/>
        <item x="4"/>
        <item x="17"/>
        <item x="26"/>
        <item x="15"/>
        <item x="9"/>
        <item x="6"/>
        <item x="11"/>
        <item x="18"/>
        <item x="20"/>
        <item x="8"/>
        <item x="10"/>
        <item x="31"/>
        <item x="25"/>
        <item x="0"/>
        <item x="16"/>
        <item x="21"/>
        <item x="33"/>
        <item x="34"/>
        <item x="19"/>
        <item x="12"/>
        <item x="30"/>
        <item x="1"/>
        <item x="24"/>
        <item x="32"/>
        <item t="default"/>
      </items>
    </pivotField>
    <pivotField showAll="0"/>
    <pivotField showAll="0">
      <items count="6">
        <item x="4"/>
        <item x="0"/>
        <item x="2"/>
        <item x="1"/>
        <item x="3"/>
        <item t="default"/>
      </items>
    </pivotField>
    <pivotField showAll="0"/>
    <pivotField showAll="0">
      <items count="6">
        <item x="3"/>
        <item x="1"/>
        <item x="4"/>
        <item x="0"/>
        <item x="2"/>
        <item t="default"/>
      </items>
    </pivotField>
    <pivotField showAll="0"/>
    <pivotField showAll="0"/>
    <pivotField showAll="0"/>
  </pivotFields>
  <rowItems count="1">
    <i/>
  </rowItems>
  <colItems count="1">
    <i/>
  </colItems>
  <dataFields count="1">
    <dataField name="Count of Titl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FBD817-D0C4-4019-BA1E-AE93587FC5EA}" name="PivotTable1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3:G8" firstHeaderRow="1" firstDataRow="1" firstDataCol="1"/>
  <pivotFields count="8">
    <pivotField dataField="1" showAll="0">
      <items count="37">
        <item x="5"/>
        <item x="2"/>
        <item x="29"/>
        <item x="14"/>
        <item x="28"/>
        <item x="23"/>
        <item x="13"/>
        <item x="27"/>
        <item x="22"/>
        <item x="35"/>
        <item x="3"/>
        <item x="7"/>
        <item x="4"/>
        <item x="17"/>
        <item x="26"/>
        <item x="15"/>
        <item x="9"/>
        <item x="6"/>
        <item x="11"/>
        <item x="18"/>
        <item x="20"/>
        <item x="8"/>
        <item x="10"/>
        <item x="31"/>
        <item x="25"/>
        <item x="0"/>
        <item x="16"/>
        <item x="21"/>
        <item x="33"/>
        <item x="34"/>
        <item x="19"/>
        <item x="12"/>
        <item x="30"/>
        <item x="1"/>
        <item x="24"/>
        <item x="32"/>
        <item t="default"/>
      </items>
    </pivotField>
    <pivotField showAll="0"/>
    <pivotField showAll="0">
      <items count="6">
        <item x="4"/>
        <item x="0"/>
        <item x="2"/>
        <item x="1"/>
        <item x="3"/>
        <item t="default"/>
      </items>
    </pivotField>
    <pivotField showAll="0"/>
    <pivotField showAll="0">
      <items count="6">
        <item x="3"/>
        <item x="1"/>
        <item x="4"/>
        <item x="0"/>
        <item x="2"/>
        <item t="default"/>
      </items>
    </pivotField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Titl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9398C1-7C89-4D56-87B6-BAF701A9C29A}" name="PivotTable1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C17:D24" firstHeaderRow="1" firstDataRow="1" firstDataCol="1"/>
  <pivotFields count="8">
    <pivotField showAll="0">
      <items count="37">
        <item x="5"/>
        <item x="2"/>
        <item x="29"/>
        <item x="14"/>
        <item x="28"/>
        <item x="23"/>
        <item x="13"/>
        <item x="27"/>
        <item x="22"/>
        <item x="35"/>
        <item x="3"/>
        <item x="7"/>
        <item x="4"/>
        <item x="17"/>
        <item x="26"/>
        <item x="15"/>
        <item x="9"/>
        <item x="6"/>
        <item x="11"/>
        <item x="18"/>
        <item x="20"/>
        <item x="8"/>
        <item x="10"/>
        <item x="31"/>
        <item x="25"/>
        <item x="0"/>
        <item x="16"/>
        <item x="21"/>
        <item x="33"/>
        <item x="34"/>
        <item x="19"/>
        <item x="12"/>
        <item x="30"/>
        <item x="1"/>
        <item x="24"/>
        <item x="32"/>
        <item t="default"/>
      </items>
    </pivotField>
    <pivotField showAll="0">
      <items count="37">
        <item x="1"/>
        <item x="35"/>
        <item x="3"/>
        <item x="8"/>
        <item x="5"/>
        <item x="2"/>
        <item x="29"/>
        <item x="14"/>
        <item x="28"/>
        <item x="23"/>
        <item x="13"/>
        <item x="27"/>
        <item x="22"/>
        <item x="7"/>
        <item x="33"/>
        <item x="18"/>
        <item x="4"/>
        <item x="17"/>
        <item x="26"/>
        <item x="15"/>
        <item x="9"/>
        <item x="6"/>
        <item x="11"/>
        <item x="10"/>
        <item x="31"/>
        <item x="0"/>
        <item x="25"/>
        <item x="16"/>
        <item x="20"/>
        <item x="21"/>
        <item x="34"/>
        <item x="19"/>
        <item x="12"/>
        <item x="30"/>
        <item x="24"/>
        <item x="32"/>
        <item t="default"/>
      </items>
    </pivotField>
    <pivotField showAll="0">
      <items count="6">
        <item x="4"/>
        <item x="0"/>
        <item x="2"/>
        <item x="1"/>
        <item x="3"/>
        <item t="default"/>
      </items>
    </pivotField>
    <pivotField showAll="0"/>
    <pivotField multipleItemSelectionAllowed="1" showAll="0">
      <items count="6">
        <item x="3"/>
        <item x="1"/>
        <item x="4"/>
        <item x="0"/>
        <item x="2"/>
        <item t="default"/>
      </items>
    </pivotField>
    <pivotField showAll="0"/>
    <pivotField axis="axisRow" dataField="1" showAll="0">
      <items count="7">
        <item x="0"/>
        <item x="5"/>
        <item x="1"/>
        <item x="2"/>
        <item x="3"/>
        <item x="4"/>
        <item t="default"/>
      </items>
    </pivotField>
    <pivotField showAll="0"/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Course" fld="6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2135A-44F7-4C52-88A2-E20030FF1E18}" name="PivotTable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32:I33" firstHeaderRow="1" firstDataRow="1" firstDataCol="0"/>
  <pivotFields count="10">
    <pivotField dataField="1" showAll="0"/>
    <pivotField showAll="0"/>
    <pivotField showAll="0"/>
    <pivotField showAll="0">
      <items count="4">
        <item x="2"/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8">
        <item x="0"/>
        <item x="1"/>
        <item x="5"/>
        <item x="6"/>
        <item x="4"/>
        <item x="3"/>
        <item x="2"/>
        <item t="default"/>
      </items>
    </pivotField>
    <pivotField showAll="0"/>
  </pivotFields>
  <rowItems count="1">
    <i/>
  </rowItems>
  <colItems count="1">
    <i/>
  </colItems>
  <dataFields count="1">
    <dataField name="Count of Titl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5A0C84-AB01-4BE5-AE91-975A7E07CD84}" name="PivotTable1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F12:G18" firstHeaderRow="1" firstDataRow="1" firstDataCol="1"/>
  <pivotFields count="8">
    <pivotField dataField="1" showAll="0">
      <items count="37">
        <item x="5"/>
        <item x="2"/>
        <item x="29"/>
        <item x="14"/>
        <item x="28"/>
        <item x="23"/>
        <item x="13"/>
        <item x="27"/>
        <item x="22"/>
        <item x="35"/>
        <item x="3"/>
        <item x="7"/>
        <item x="4"/>
        <item x="17"/>
        <item x="26"/>
        <item x="15"/>
        <item x="9"/>
        <item x="6"/>
        <item x="11"/>
        <item x="18"/>
        <item x="20"/>
        <item x="8"/>
        <item x="10"/>
        <item x="31"/>
        <item x="25"/>
        <item x="0"/>
        <item x="16"/>
        <item x="21"/>
        <item x="33"/>
        <item x="34"/>
        <item x="19"/>
        <item x="12"/>
        <item x="30"/>
        <item x="1"/>
        <item x="24"/>
        <item x="32"/>
        <item t="default"/>
      </items>
    </pivotField>
    <pivotField showAll="0"/>
    <pivotField showAll="0">
      <items count="6">
        <item x="4"/>
        <item x="0"/>
        <item x="2"/>
        <item x="1"/>
        <item x="3"/>
        <item t="default"/>
      </items>
    </pivotField>
    <pivotField showAll="0"/>
    <pivotField axis="axisRow" showAll="0">
      <items count="6">
        <item x="3"/>
        <item x="1"/>
        <item x="4"/>
        <item x="0"/>
        <item x="2"/>
        <item t="default"/>
      </items>
    </pivotField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Title" fld="0" subtotal="count" baseField="0" baseItem="0"/>
  </dataFields>
  <chartFormats count="1"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18E87E4-F0FE-4963-AB1F-4F04492ED95B}" autoFormatId="16" applyNumberFormats="0" applyBorderFormats="0" applyFontFormats="0" applyPatternFormats="0" applyAlignmentFormats="0" applyWidthHeightFormats="0">
  <queryTableRefresh nextId="25">
    <queryTableFields count="10">
      <queryTableField id="6" name="Title" tableColumnId="6"/>
      <queryTableField id="9" name="RquesterMail" tableColumnId="9"/>
      <queryTableField id="10" name="RequestedBloodGroup" tableColumnId="10"/>
      <queryTableField id="11" name="Status" tableColumnId="11"/>
      <queryTableField id="12" name="DonorResponse" tableColumnId="12"/>
      <queryTableField id="13" name="RespondingDonorName" tableColumnId="13"/>
      <queryTableField id="14" name="RespondingDonorEmail" tableColumnId="14"/>
      <queryTableField id="15" name="RespondingDonorContact" tableColumnId="15"/>
      <queryTableField id="16" name="Location" tableColumnId="16"/>
      <queryTableField id="17" name="ID.1" tableColumnId="17"/>
    </queryTableFields>
    <queryTableDeletedFields count="14">
      <deletedField name="FileSystemObjectType"/>
      <deletedField name="Id"/>
      <deletedField name="ServerRedirectedEmbedUri"/>
      <deletedField name="ServerRedirectedEmbedUrl"/>
      <deletedField name="ContentTypeId"/>
      <deletedField name="OData__ColorTag"/>
      <deletedField name="ComplianceAssetId"/>
      <deletedField name="Modified"/>
      <deletedField name="Created"/>
      <deletedField name="AuthorId"/>
      <deletedField name="EditorId"/>
      <deletedField name="OData__UIVersionString"/>
      <deletedField name="Attachments"/>
      <deletedField name="GUID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(2)" backgroundRefresh="0" connectionId="2" xr16:uid="{E05CD062-1A99-4E07-AD06-E543242C2DA5}" autoFormatId="16" applyNumberFormats="0" applyBorderFormats="0" applyFontFormats="0" applyPatternFormats="0" applyAlignmentFormats="0" applyWidthHeightFormats="0">
  <queryTableRefresh nextId="12">
    <queryTableFields count="8">
      <queryTableField id="1" name="Title" tableColumnId="1"/>
      <queryTableField id="2" name="DonerEmail" tableColumnId="2"/>
      <queryTableField id="3" name="BloodGroup" tableColumnId="3"/>
      <queryTableField id="4" name="Phone no." tableColumnId="4"/>
      <queryTableField id="5" name="Location" tableColumnId="5"/>
      <queryTableField id="6" name="Dtailed location" tableColumnId="6"/>
      <queryTableField id="7" name="Course" tableColumnId="7"/>
      <queryTableField id="8" name="Academic year" tableColumnId="8"/>
    </queryTableFields>
    <queryTableDeletedFields count="3">
      <deletedField name="book details"/>
      <deletedField name="Item Type"/>
      <deletedField name="Path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E00349F-1C27-44A6-A5F5-DEDFB27657F1}" name="BlooodRequests" displayName="BlooodRequests" ref="A1:J51" tableType="queryTable" totalsRowShown="0">
  <autoFilter ref="A1:J51" xr:uid="{EE00349F-1C27-44A6-A5F5-DEDFB27657F1}"/>
  <tableColumns count="10">
    <tableColumn id="6" xr3:uid="{42415021-CCDE-4DDE-8CFD-3E9F78AC53F0}" uniqueName="6" name="Title" queryTableFieldId="6"/>
    <tableColumn id="9" xr3:uid="{A0CEEFAC-CA01-4F30-9DD3-8438F7DF0F76}" uniqueName="9" name="RquesterMail" queryTableFieldId="9"/>
    <tableColumn id="10" xr3:uid="{6660427D-35D9-4B2A-9647-70E32C7B1784}" uniqueName="10" name="RequestedBloodGroup" queryTableFieldId="10"/>
    <tableColumn id="11" xr3:uid="{9EFF83A0-4777-4970-AF67-6748A543940A}" uniqueName="11" name="Status" queryTableFieldId="11"/>
    <tableColumn id="12" xr3:uid="{258822A3-164C-4A82-A2F3-2C1D72031CA7}" uniqueName="12" name="DonorResponse" queryTableFieldId="12"/>
    <tableColumn id="13" xr3:uid="{EA36D9D9-A436-4F48-8308-96EC7175C71D}" uniqueName="13" name="RespondingDonorName" queryTableFieldId="13"/>
    <tableColumn id="14" xr3:uid="{6DE48ED7-A680-4550-B06F-60E045862A0A}" uniqueName="14" name="RespondingDonorEmail" queryTableFieldId="14"/>
    <tableColumn id="15" xr3:uid="{D18051F1-889C-40F9-AFD5-00CCC2E5310B}" uniqueName="15" name="RespondingDonorContact" queryTableFieldId="15"/>
    <tableColumn id="16" xr3:uid="{27BD713E-1D2A-4FB5-AE51-121F65CE420F}" uniqueName="16" name="Location" queryTableFieldId="16"/>
    <tableColumn id="17" xr3:uid="{BDE79866-DFCE-48E7-819D-51135D78DD89}" uniqueName="17" name="ID.1" queryTableField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561201-4AF6-40E3-80A1-66C664053E5D}" name="Table_query__2" displayName="Table_query__2" ref="A1:H37" tableType="queryTable" totalsRowShown="0">
  <autoFilter ref="A1:H37" xr:uid="{8C561201-4AF6-40E3-80A1-66C664053E5D}"/>
  <tableColumns count="8">
    <tableColumn id="1" xr3:uid="{5370E470-8BC4-426F-B8AA-50C497996FD7}" uniqueName="Title" name="Title" queryTableFieldId="1" dataDxfId="7"/>
    <tableColumn id="2" xr3:uid="{66A5B714-32F6-44C0-98F8-422A6EB58E89}" uniqueName="DonerEmail" name="DonerEmail" queryTableFieldId="2" dataDxfId="6"/>
    <tableColumn id="3" xr3:uid="{A898F7BC-C5F3-4513-AD37-D677DC64B788}" uniqueName="BloodGroup" name="BloodGroup" queryTableFieldId="3" dataDxfId="5"/>
    <tableColumn id="4" xr3:uid="{DF501170-16A6-4761-9007-6BB94DDFC8BC}" uniqueName="Phoneno_x005f_x002e_" name="Phone no." queryTableFieldId="4" dataDxfId="4"/>
    <tableColumn id="5" xr3:uid="{EF84EBE4-150D-4BF2-937B-C55FAA783F7D}" uniqueName="Location" name="Location" queryTableFieldId="5" dataDxfId="3"/>
    <tableColumn id="6" xr3:uid="{78F007E9-CDBE-4FBF-BA2D-4A1A8E888965}" uniqueName="Dtailedlocation" name="Dtailed location" queryTableFieldId="6" dataDxfId="2"/>
    <tableColumn id="7" xr3:uid="{294E6C90-03A6-4271-BFC1-F452F47B17CD}" uniqueName="Course" name="Course" queryTableFieldId="7" dataDxfId="1"/>
    <tableColumn id="8" xr3:uid="{D8E638E4-CA17-4F17-9E54-EB72A3749F8E}" uniqueName="Academicyear" name="Academic year" queryTableFieldId="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2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06B2E-928E-4B23-BB6E-6575E36C2DB8}">
  <sheetPr codeName="Sheet2"/>
  <dimension ref="A1"/>
  <sheetViews>
    <sheetView tabSelected="1" zoomScale="65" zoomScaleNormal="69" workbookViewId="0">
      <selection activeCell="AE38" sqref="AE3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5EE2F-CDC0-4D12-84C3-40C11075AC6A}">
  <sheetPr codeName="Sheet6"/>
  <dimension ref="A3:L45"/>
  <sheetViews>
    <sheetView topLeftCell="A25" zoomScale="82" workbookViewId="0">
      <selection activeCell="E45" sqref="D42:E45"/>
    </sheetView>
  </sheetViews>
  <sheetFormatPr defaultRowHeight="14.4" x14ac:dyDescent="0.3"/>
  <cols>
    <col min="1" max="1" width="11.77734375" bestFit="1" customWidth="1"/>
    <col min="2" max="2" width="15.33203125" bestFit="1" customWidth="1"/>
    <col min="3" max="4" width="13.21875" bestFit="1" customWidth="1"/>
    <col min="5" max="5" width="23" bestFit="1" customWidth="1"/>
    <col min="6" max="6" width="13.21875" bestFit="1" customWidth="1"/>
    <col min="7" max="7" width="12.6640625" bestFit="1" customWidth="1"/>
    <col min="8" max="8" width="24.33203125" bestFit="1" customWidth="1"/>
    <col min="9" max="10" width="12.6640625" bestFit="1" customWidth="1"/>
    <col min="11" max="11" width="13.33203125" bestFit="1" customWidth="1"/>
    <col min="12" max="12" width="16.5546875" bestFit="1" customWidth="1"/>
    <col min="13" max="13" width="10.88671875" bestFit="1" customWidth="1"/>
    <col min="14" max="14" width="10.6640625" bestFit="1" customWidth="1"/>
    <col min="15" max="15" width="21.33203125" bestFit="1" customWidth="1"/>
    <col min="16" max="16" width="26.6640625" bestFit="1" customWidth="1"/>
    <col min="17" max="17" width="18.6640625" bestFit="1" customWidth="1"/>
    <col min="18" max="18" width="16" bestFit="1" customWidth="1"/>
    <col min="19" max="19" width="17.33203125" bestFit="1" customWidth="1"/>
    <col min="20" max="20" width="27.6640625" bestFit="1" customWidth="1"/>
    <col min="21" max="21" width="17.44140625" bestFit="1" customWidth="1"/>
    <col min="22" max="22" width="22.88671875" bestFit="1" customWidth="1"/>
    <col min="23" max="23" width="24.88671875" bestFit="1" customWidth="1"/>
    <col min="24" max="24" width="16" bestFit="1" customWidth="1"/>
    <col min="25" max="25" width="15.77734375" bestFit="1" customWidth="1"/>
    <col min="26" max="26" width="23.6640625" bestFit="1" customWidth="1"/>
    <col min="27" max="28" width="17.44140625" bestFit="1" customWidth="1"/>
    <col min="29" max="29" width="24" bestFit="1" customWidth="1"/>
    <col min="30" max="30" width="23" bestFit="1" customWidth="1"/>
    <col min="31" max="31" width="17" bestFit="1" customWidth="1"/>
    <col min="32" max="32" width="17.21875" bestFit="1" customWidth="1"/>
    <col min="33" max="33" width="23.21875" bestFit="1" customWidth="1"/>
    <col min="34" max="34" width="17.88671875" bestFit="1" customWidth="1"/>
    <col min="35" max="35" width="17.33203125" bestFit="1" customWidth="1"/>
    <col min="36" max="36" width="19" bestFit="1" customWidth="1"/>
    <col min="37" max="37" width="18.6640625" bestFit="1" customWidth="1"/>
    <col min="38" max="38" width="20.21875" bestFit="1" customWidth="1"/>
    <col min="39" max="39" width="14.88671875" bestFit="1" customWidth="1"/>
    <col min="40" max="40" width="12" bestFit="1" customWidth="1"/>
  </cols>
  <sheetData>
    <row r="3" spans="1:7" x14ac:dyDescent="0.3">
      <c r="A3" t="s">
        <v>351</v>
      </c>
      <c r="F3" s="3" t="s">
        <v>349</v>
      </c>
      <c r="G3" t="s">
        <v>351</v>
      </c>
    </row>
    <row r="4" spans="1:7" x14ac:dyDescent="0.3">
      <c r="A4">
        <v>36</v>
      </c>
      <c r="F4" s="4">
        <v>1</v>
      </c>
      <c r="G4">
        <v>11</v>
      </c>
    </row>
    <row r="5" spans="1:7" x14ac:dyDescent="0.3">
      <c r="F5" s="4">
        <v>2</v>
      </c>
      <c r="G5">
        <v>15</v>
      </c>
    </row>
    <row r="6" spans="1:7" x14ac:dyDescent="0.3">
      <c r="F6" s="4">
        <v>3</v>
      </c>
      <c r="G6">
        <v>7</v>
      </c>
    </row>
    <row r="7" spans="1:7" x14ac:dyDescent="0.3">
      <c r="F7" s="4">
        <v>4</v>
      </c>
      <c r="G7">
        <v>3</v>
      </c>
    </row>
    <row r="8" spans="1:7" x14ac:dyDescent="0.3">
      <c r="C8" s="3" t="s">
        <v>349</v>
      </c>
      <c r="D8" t="s">
        <v>351</v>
      </c>
      <c r="F8" s="4" t="s">
        <v>350</v>
      </c>
      <c r="G8">
        <v>36</v>
      </c>
    </row>
    <row r="9" spans="1:7" x14ac:dyDescent="0.3">
      <c r="C9" s="4" t="s">
        <v>67</v>
      </c>
      <c r="D9">
        <v>3</v>
      </c>
    </row>
    <row r="10" spans="1:7" x14ac:dyDescent="0.3">
      <c r="C10" s="4" t="s">
        <v>10</v>
      </c>
      <c r="D10">
        <v>14</v>
      </c>
    </row>
    <row r="11" spans="1:7" x14ac:dyDescent="0.3">
      <c r="C11" s="4" t="s">
        <v>29</v>
      </c>
      <c r="D11">
        <v>1</v>
      </c>
    </row>
    <row r="12" spans="1:7" x14ac:dyDescent="0.3">
      <c r="C12" s="4" t="s">
        <v>16</v>
      </c>
      <c r="D12">
        <v>10</v>
      </c>
      <c r="F12" s="3" t="s">
        <v>349</v>
      </c>
      <c r="G12" t="s">
        <v>351</v>
      </c>
    </row>
    <row r="13" spans="1:7" x14ac:dyDescent="0.3">
      <c r="C13" s="4" t="s">
        <v>43</v>
      </c>
      <c r="D13">
        <v>8</v>
      </c>
      <c r="F13" s="4" t="s">
        <v>50</v>
      </c>
      <c r="G13">
        <v>11</v>
      </c>
    </row>
    <row r="14" spans="1:7" x14ac:dyDescent="0.3">
      <c r="C14" s="4" t="s">
        <v>350</v>
      </c>
      <c r="D14">
        <v>36</v>
      </c>
      <c r="F14" s="4" t="s">
        <v>21</v>
      </c>
      <c r="G14">
        <v>6</v>
      </c>
    </row>
    <row r="15" spans="1:7" x14ac:dyDescent="0.3">
      <c r="F15" s="4" t="s">
        <v>54</v>
      </c>
      <c r="G15">
        <v>4</v>
      </c>
    </row>
    <row r="16" spans="1:7" x14ac:dyDescent="0.3">
      <c r="F16" s="4" t="s">
        <v>11</v>
      </c>
      <c r="G16">
        <v>10</v>
      </c>
    </row>
    <row r="17" spans="2:12" x14ac:dyDescent="0.3">
      <c r="C17" s="3" t="s">
        <v>349</v>
      </c>
      <c r="D17" t="s">
        <v>352</v>
      </c>
      <c r="F17" s="4" t="s">
        <v>26</v>
      </c>
      <c r="G17">
        <v>5</v>
      </c>
    </row>
    <row r="18" spans="2:12" x14ac:dyDescent="0.3">
      <c r="C18" s="4" t="s">
        <v>13</v>
      </c>
      <c r="D18">
        <v>8</v>
      </c>
      <c r="F18" s="4" t="s">
        <v>350</v>
      </c>
      <c r="G18">
        <v>36</v>
      </c>
    </row>
    <row r="19" spans="2:12" x14ac:dyDescent="0.3">
      <c r="C19" s="4" t="s">
        <v>348</v>
      </c>
      <c r="D19">
        <v>1</v>
      </c>
    </row>
    <row r="20" spans="2:12" x14ac:dyDescent="0.3">
      <c r="C20" s="4" t="s">
        <v>18</v>
      </c>
      <c r="D20">
        <v>9</v>
      </c>
    </row>
    <row r="21" spans="2:12" x14ac:dyDescent="0.3">
      <c r="C21" s="4" t="s">
        <v>23</v>
      </c>
      <c r="D21">
        <v>5</v>
      </c>
    </row>
    <row r="22" spans="2:12" x14ac:dyDescent="0.3">
      <c r="C22" s="4" t="s">
        <v>31</v>
      </c>
      <c r="D22">
        <v>5</v>
      </c>
      <c r="F22" s="3" t="s">
        <v>351</v>
      </c>
    </row>
    <row r="23" spans="2:12" x14ac:dyDescent="0.3">
      <c r="C23" s="4" t="s">
        <v>34</v>
      </c>
      <c r="D23">
        <v>8</v>
      </c>
      <c r="F23">
        <v>36</v>
      </c>
      <c r="I23" s="3" t="s">
        <v>349</v>
      </c>
      <c r="J23" t="s">
        <v>351</v>
      </c>
    </row>
    <row r="24" spans="2:12" x14ac:dyDescent="0.3">
      <c r="C24" s="4" t="s">
        <v>350</v>
      </c>
      <c r="D24">
        <v>36</v>
      </c>
      <c r="I24" s="4" t="s">
        <v>155</v>
      </c>
      <c r="J24">
        <v>14</v>
      </c>
    </row>
    <row r="25" spans="2:12" x14ac:dyDescent="0.3">
      <c r="I25" s="4" t="s">
        <v>137</v>
      </c>
      <c r="J25">
        <v>18</v>
      </c>
    </row>
    <row r="26" spans="2:12" x14ac:dyDescent="0.3">
      <c r="I26" s="4" t="s">
        <v>143</v>
      </c>
      <c r="J26">
        <v>18</v>
      </c>
    </row>
    <row r="27" spans="2:12" x14ac:dyDescent="0.3">
      <c r="E27" s="5" t="s">
        <v>353</v>
      </c>
      <c r="I27" s="4" t="s">
        <v>350</v>
      </c>
      <c r="J27">
        <v>50</v>
      </c>
    </row>
    <row r="28" spans="2:12" x14ac:dyDescent="0.3">
      <c r="E28">
        <f>COUNTA(_xlfn.UNIQUE(Table_query__2[Location]))</f>
        <v>5</v>
      </c>
      <c r="L28">
        <f>GETPIVOTDATA("Title",$I$23)</f>
        <v>50</v>
      </c>
    </row>
    <row r="30" spans="2:12" x14ac:dyDescent="0.3">
      <c r="B30" s="5" t="s">
        <v>355</v>
      </c>
    </row>
    <row r="31" spans="2:12" x14ac:dyDescent="0.3">
      <c r="B31">
        <f>COUNTA(_xlfn.UNIQUE(Table_query__2[Course]))</f>
        <v>6</v>
      </c>
    </row>
    <row r="32" spans="2:12" x14ac:dyDescent="0.3">
      <c r="E32" s="5" t="s">
        <v>354</v>
      </c>
      <c r="I32" t="s">
        <v>351</v>
      </c>
    </row>
    <row r="33" spans="4:10" x14ac:dyDescent="0.3">
      <c r="E33">
        <f>COUNTA(_xlfn.UNIQUE(Table_query__2[BloodGroup]))</f>
        <v>5</v>
      </c>
      <c r="I33">
        <v>50</v>
      </c>
      <c r="J33">
        <f>COUNT(BlooodRequests[[#Headers],[Title]])</f>
        <v>0</v>
      </c>
    </row>
    <row r="42" spans="4:10" x14ac:dyDescent="0.3">
      <c r="D42" s="3" t="s">
        <v>349</v>
      </c>
      <c r="E42" t="s">
        <v>356</v>
      </c>
    </row>
    <row r="43" spans="4:10" x14ac:dyDescent="0.3">
      <c r="D43" s="4" t="s">
        <v>138</v>
      </c>
      <c r="E43" s="6">
        <v>15</v>
      </c>
    </row>
    <row r="44" spans="4:10" x14ac:dyDescent="0.3">
      <c r="D44" s="4" t="s">
        <v>144</v>
      </c>
      <c r="E44" s="6">
        <v>35</v>
      </c>
    </row>
    <row r="45" spans="4:10" x14ac:dyDescent="0.3">
      <c r="D45" s="4" t="s">
        <v>350</v>
      </c>
      <c r="E45" s="6">
        <v>50</v>
      </c>
    </row>
  </sheetData>
  <pageMargins left="0.7" right="0.7" top="0.75" bottom="0.75" header="0.3" footer="0.3"/>
  <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8F00-5ECC-44E7-9DB0-BDB91FF2FBB2}">
  <sheetPr codeName="Sheet4"/>
  <dimension ref="A1:J51"/>
  <sheetViews>
    <sheetView topLeftCell="A2" zoomScale="98" workbookViewId="0">
      <selection activeCell="C14" sqref="A2:J51"/>
    </sheetView>
  </sheetViews>
  <sheetFormatPr defaultRowHeight="14.4" x14ac:dyDescent="0.3"/>
  <cols>
    <col min="1" max="1" width="22.33203125" bestFit="1" customWidth="1"/>
    <col min="2" max="2" width="22.6640625" bestFit="1" customWidth="1"/>
    <col min="3" max="4" width="26.44140625" bestFit="1" customWidth="1"/>
    <col min="5" max="5" width="77.88671875" bestFit="1" customWidth="1"/>
    <col min="6" max="6" width="23" bestFit="1" customWidth="1"/>
    <col min="7" max="7" width="22.77734375" bestFit="1" customWidth="1"/>
    <col min="8" max="8" width="19.77734375" bestFit="1" customWidth="1"/>
    <col min="9" max="9" width="22.6640625" bestFit="1" customWidth="1"/>
    <col min="10" max="10" width="22.21875" bestFit="1" customWidth="1"/>
    <col min="11" max="11" width="11.44140625" bestFit="1" customWidth="1"/>
    <col min="12" max="12" width="16.21875" bestFit="1" customWidth="1"/>
    <col min="13" max="13" width="23" bestFit="1" customWidth="1"/>
    <col min="14" max="14" width="22.77734375" bestFit="1" customWidth="1"/>
    <col min="15" max="15" width="24.6640625" bestFit="1" customWidth="1"/>
    <col min="16" max="16" width="11.21875" bestFit="1" customWidth="1"/>
    <col min="17" max="17" width="6.5546875" bestFit="1" customWidth="1"/>
    <col min="18" max="19" width="12" bestFit="1" customWidth="1"/>
    <col min="20" max="20" width="10.33203125" bestFit="1" customWidth="1"/>
    <col min="21" max="21" width="9.88671875" bestFit="1" customWidth="1"/>
    <col min="22" max="22" width="23.109375" bestFit="1" customWidth="1"/>
    <col min="23" max="23" width="13.88671875" bestFit="1" customWidth="1"/>
    <col min="24" max="24" width="36.33203125" bestFit="1" customWidth="1"/>
  </cols>
  <sheetData>
    <row r="1" spans="1:10" x14ac:dyDescent="0.3">
      <c r="A1" t="s">
        <v>0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4</v>
      </c>
      <c r="J1" t="s">
        <v>134</v>
      </c>
    </row>
    <row r="2" spans="1:10" x14ac:dyDescent="0.3">
      <c r="A2" t="s">
        <v>135</v>
      </c>
      <c r="B2" t="s">
        <v>136</v>
      </c>
      <c r="C2" t="s">
        <v>10</v>
      </c>
      <c r="D2" t="s">
        <v>137</v>
      </c>
      <c r="E2" t="s">
        <v>138</v>
      </c>
      <c r="F2" t="s">
        <v>139</v>
      </c>
      <c r="G2" t="s">
        <v>20</v>
      </c>
      <c r="H2">
        <f ca="1">RANDBETWEEN(6000000000,9999999999)</f>
        <v>6746794777</v>
      </c>
      <c r="I2" t="s">
        <v>140</v>
      </c>
      <c r="J2">
        <v>6</v>
      </c>
    </row>
    <row r="3" spans="1:10" x14ac:dyDescent="0.3">
      <c r="A3" t="s">
        <v>141</v>
      </c>
      <c r="B3" t="s">
        <v>142</v>
      </c>
      <c r="C3" t="s">
        <v>10</v>
      </c>
      <c r="D3" t="s">
        <v>143</v>
      </c>
      <c r="E3" t="s">
        <v>144</v>
      </c>
      <c r="F3" t="s">
        <v>145</v>
      </c>
      <c r="G3" t="s">
        <v>146</v>
      </c>
      <c r="H3">
        <f t="shared" ref="H3:H51" ca="1" si="0">RANDBETWEEN(6000000000,9999999999)</f>
        <v>8222310766</v>
      </c>
      <c r="I3" t="s">
        <v>147</v>
      </c>
      <c r="J3">
        <v>7</v>
      </c>
    </row>
    <row r="4" spans="1:10" x14ac:dyDescent="0.3">
      <c r="A4" t="s">
        <v>148</v>
      </c>
      <c r="B4" t="s">
        <v>149</v>
      </c>
      <c r="C4" t="s">
        <v>16</v>
      </c>
      <c r="D4" t="s">
        <v>137</v>
      </c>
      <c r="E4" t="s">
        <v>138</v>
      </c>
      <c r="F4" t="s">
        <v>150</v>
      </c>
      <c r="G4" t="s">
        <v>151</v>
      </c>
      <c r="H4">
        <f t="shared" ca="1" si="0"/>
        <v>7463359402</v>
      </c>
      <c r="I4" t="s">
        <v>152</v>
      </c>
      <c r="J4">
        <v>8</v>
      </c>
    </row>
    <row r="5" spans="1:10" x14ac:dyDescent="0.3">
      <c r="A5" t="s">
        <v>153</v>
      </c>
      <c r="B5" t="s">
        <v>154</v>
      </c>
      <c r="C5" t="s">
        <v>43</v>
      </c>
      <c r="D5" t="s">
        <v>155</v>
      </c>
      <c r="E5" t="s">
        <v>144</v>
      </c>
      <c r="F5" t="s">
        <v>156</v>
      </c>
      <c r="G5" t="s">
        <v>157</v>
      </c>
      <c r="H5">
        <f t="shared" ca="1" si="0"/>
        <v>7685021643</v>
      </c>
      <c r="I5" t="s">
        <v>158</v>
      </c>
      <c r="J5">
        <v>9</v>
      </c>
    </row>
    <row r="6" spans="1:10" x14ac:dyDescent="0.3">
      <c r="A6" t="s">
        <v>159</v>
      </c>
      <c r="B6" t="s">
        <v>160</v>
      </c>
      <c r="C6" t="s">
        <v>67</v>
      </c>
      <c r="D6" t="s">
        <v>137</v>
      </c>
      <c r="E6" t="s">
        <v>138</v>
      </c>
      <c r="F6" t="s">
        <v>161</v>
      </c>
      <c r="G6" t="s">
        <v>162</v>
      </c>
      <c r="H6">
        <f t="shared" ca="1" si="0"/>
        <v>7315030292</v>
      </c>
      <c r="I6" t="s">
        <v>163</v>
      </c>
      <c r="J6">
        <v>10</v>
      </c>
    </row>
    <row r="7" spans="1:10" x14ac:dyDescent="0.3">
      <c r="A7" t="s">
        <v>164</v>
      </c>
      <c r="B7" t="s">
        <v>165</v>
      </c>
      <c r="C7" t="s">
        <v>16</v>
      </c>
      <c r="D7" t="s">
        <v>143</v>
      </c>
      <c r="E7" t="s">
        <v>144</v>
      </c>
      <c r="F7" t="s">
        <v>166</v>
      </c>
      <c r="G7" t="s">
        <v>167</v>
      </c>
      <c r="H7">
        <f t="shared" ca="1" si="0"/>
        <v>6036910125</v>
      </c>
      <c r="I7" t="s">
        <v>140</v>
      </c>
      <c r="J7">
        <v>11</v>
      </c>
    </row>
    <row r="8" spans="1:10" x14ac:dyDescent="0.3">
      <c r="A8" t="s">
        <v>168</v>
      </c>
      <c r="B8" t="s">
        <v>169</v>
      </c>
      <c r="C8" t="s">
        <v>43</v>
      </c>
      <c r="D8" t="s">
        <v>137</v>
      </c>
      <c r="E8" t="s">
        <v>138</v>
      </c>
      <c r="F8" t="s">
        <v>170</v>
      </c>
      <c r="G8" t="s">
        <v>171</v>
      </c>
      <c r="H8">
        <f t="shared" ca="1" si="0"/>
        <v>7679354596</v>
      </c>
      <c r="I8" t="s">
        <v>152</v>
      </c>
      <c r="J8">
        <v>12</v>
      </c>
    </row>
    <row r="9" spans="1:10" x14ac:dyDescent="0.3">
      <c r="A9" t="s">
        <v>172</v>
      </c>
      <c r="B9" t="s">
        <v>173</v>
      </c>
      <c r="C9" t="s">
        <v>10</v>
      </c>
      <c r="D9" t="s">
        <v>155</v>
      </c>
      <c r="E9" t="s">
        <v>144</v>
      </c>
      <c r="F9" t="s">
        <v>174</v>
      </c>
      <c r="G9" t="s">
        <v>175</v>
      </c>
      <c r="H9">
        <f t="shared" ca="1" si="0"/>
        <v>7325291848</v>
      </c>
      <c r="I9" t="s">
        <v>158</v>
      </c>
      <c r="J9">
        <v>13</v>
      </c>
    </row>
    <row r="10" spans="1:10" x14ac:dyDescent="0.3">
      <c r="A10" t="s">
        <v>176</v>
      </c>
      <c r="B10" t="s">
        <v>177</v>
      </c>
      <c r="C10" t="s">
        <v>67</v>
      </c>
      <c r="D10" t="s">
        <v>137</v>
      </c>
      <c r="E10" t="s">
        <v>138</v>
      </c>
      <c r="F10" t="s">
        <v>178</v>
      </c>
      <c r="G10" t="s">
        <v>179</v>
      </c>
      <c r="H10">
        <f t="shared" ca="1" si="0"/>
        <v>7798241637</v>
      </c>
      <c r="I10" t="s">
        <v>147</v>
      </c>
      <c r="J10">
        <v>14</v>
      </c>
    </row>
    <row r="11" spans="1:10" x14ac:dyDescent="0.3">
      <c r="A11" t="s">
        <v>180</v>
      </c>
      <c r="B11" t="s">
        <v>181</v>
      </c>
      <c r="C11" t="s">
        <v>43</v>
      </c>
      <c r="D11" t="s">
        <v>143</v>
      </c>
      <c r="E11" t="s">
        <v>144</v>
      </c>
      <c r="F11" t="s">
        <v>182</v>
      </c>
      <c r="G11" t="s">
        <v>183</v>
      </c>
      <c r="H11">
        <f t="shared" ca="1" si="0"/>
        <v>6722451968</v>
      </c>
      <c r="I11" t="s">
        <v>152</v>
      </c>
      <c r="J11">
        <v>15</v>
      </c>
    </row>
    <row r="12" spans="1:10" x14ac:dyDescent="0.3">
      <c r="A12" t="s">
        <v>184</v>
      </c>
      <c r="B12" t="s">
        <v>185</v>
      </c>
      <c r="C12" t="s">
        <v>10</v>
      </c>
      <c r="D12" t="s">
        <v>155</v>
      </c>
      <c r="E12" t="s">
        <v>144</v>
      </c>
      <c r="F12" t="s">
        <v>186</v>
      </c>
      <c r="G12" t="s">
        <v>187</v>
      </c>
      <c r="H12">
        <f t="shared" ca="1" si="0"/>
        <v>7030823389</v>
      </c>
      <c r="I12" t="s">
        <v>163</v>
      </c>
      <c r="J12">
        <v>16</v>
      </c>
    </row>
    <row r="13" spans="1:10" x14ac:dyDescent="0.3">
      <c r="A13" t="s">
        <v>188</v>
      </c>
      <c r="B13" t="s">
        <v>189</v>
      </c>
      <c r="C13" t="s">
        <v>16</v>
      </c>
      <c r="D13" t="s">
        <v>137</v>
      </c>
      <c r="E13" t="s">
        <v>138</v>
      </c>
      <c r="F13" t="s">
        <v>190</v>
      </c>
      <c r="G13" t="s">
        <v>191</v>
      </c>
      <c r="H13">
        <f t="shared" ca="1" si="0"/>
        <v>8204730953</v>
      </c>
      <c r="I13" t="s">
        <v>158</v>
      </c>
      <c r="J13">
        <v>17</v>
      </c>
    </row>
    <row r="14" spans="1:10" x14ac:dyDescent="0.3">
      <c r="A14" t="s">
        <v>192</v>
      </c>
      <c r="B14" t="s">
        <v>193</v>
      </c>
      <c r="C14" t="s">
        <v>194</v>
      </c>
      <c r="D14" t="s">
        <v>143</v>
      </c>
      <c r="E14" t="s">
        <v>144</v>
      </c>
      <c r="F14" t="s">
        <v>195</v>
      </c>
      <c r="G14" t="s">
        <v>196</v>
      </c>
      <c r="H14">
        <f t="shared" ca="1" si="0"/>
        <v>9987730728</v>
      </c>
      <c r="I14" t="s">
        <v>163</v>
      </c>
      <c r="J14">
        <v>18</v>
      </c>
    </row>
    <row r="15" spans="1:10" x14ac:dyDescent="0.3">
      <c r="A15" t="s">
        <v>197</v>
      </c>
      <c r="B15" t="s">
        <v>198</v>
      </c>
      <c r="C15" t="s">
        <v>67</v>
      </c>
      <c r="D15" t="s">
        <v>155</v>
      </c>
      <c r="E15" t="s">
        <v>144</v>
      </c>
      <c r="F15" t="s">
        <v>199</v>
      </c>
      <c r="G15" t="s">
        <v>200</v>
      </c>
      <c r="H15">
        <f t="shared" ca="1" si="0"/>
        <v>8556154818</v>
      </c>
      <c r="I15" t="s">
        <v>140</v>
      </c>
      <c r="J15">
        <v>19</v>
      </c>
    </row>
    <row r="16" spans="1:10" x14ac:dyDescent="0.3">
      <c r="A16" t="s">
        <v>201</v>
      </c>
      <c r="B16" t="s">
        <v>202</v>
      </c>
      <c r="C16" t="s">
        <v>43</v>
      </c>
      <c r="D16" t="s">
        <v>143</v>
      </c>
      <c r="E16" t="s">
        <v>144</v>
      </c>
      <c r="F16" t="s">
        <v>203</v>
      </c>
      <c r="G16" t="s">
        <v>204</v>
      </c>
      <c r="H16">
        <f t="shared" ca="1" si="0"/>
        <v>9289527484</v>
      </c>
      <c r="I16" t="s">
        <v>147</v>
      </c>
      <c r="J16">
        <v>20</v>
      </c>
    </row>
    <row r="17" spans="1:10" x14ac:dyDescent="0.3">
      <c r="A17" t="s">
        <v>125</v>
      </c>
      <c r="B17" t="s">
        <v>205</v>
      </c>
      <c r="C17" t="s">
        <v>10</v>
      </c>
      <c r="D17" t="s">
        <v>137</v>
      </c>
      <c r="E17" t="s">
        <v>138</v>
      </c>
      <c r="F17" t="s">
        <v>206</v>
      </c>
      <c r="G17" t="s">
        <v>207</v>
      </c>
      <c r="H17">
        <f t="shared" ca="1" si="0"/>
        <v>7825710859</v>
      </c>
      <c r="I17" t="s">
        <v>152</v>
      </c>
      <c r="J17">
        <v>21</v>
      </c>
    </row>
    <row r="18" spans="1:10" x14ac:dyDescent="0.3">
      <c r="A18" t="s">
        <v>208</v>
      </c>
      <c r="B18" t="s">
        <v>209</v>
      </c>
      <c r="C18" t="s">
        <v>10</v>
      </c>
      <c r="D18" t="s">
        <v>155</v>
      </c>
      <c r="E18" t="s">
        <v>144</v>
      </c>
      <c r="F18" t="s">
        <v>210</v>
      </c>
      <c r="G18" t="s">
        <v>211</v>
      </c>
      <c r="H18">
        <f t="shared" ca="1" si="0"/>
        <v>9183476042</v>
      </c>
      <c r="I18" t="s">
        <v>140</v>
      </c>
      <c r="J18">
        <v>22</v>
      </c>
    </row>
    <row r="19" spans="1:10" x14ac:dyDescent="0.3">
      <c r="A19" t="s">
        <v>212</v>
      </c>
      <c r="B19" t="s">
        <v>213</v>
      </c>
      <c r="C19" t="s">
        <v>43</v>
      </c>
      <c r="D19" t="s">
        <v>137</v>
      </c>
      <c r="E19" t="s">
        <v>144</v>
      </c>
      <c r="F19" t="s">
        <v>214</v>
      </c>
      <c r="G19" t="s">
        <v>215</v>
      </c>
      <c r="H19">
        <f t="shared" ca="1" si="0"/>
        <v>8787547906</v>
      </c>
      <c r="I19" t="s">
        <v>163</v>
      </c>
      <c r="J19">
        <v>23</v>
      </c>
    </row>
    <row r="20" spans="1:10" x14ac:dyDescent="0.3">
      <c r="A20" t="s">
        <v>216</v>
      </c>
      <c r="B20" t="s">
        <v>217</v>
      </c>
      <c r="C20" t="s">
        <v>67</v>
      </c>
      <c r="D20" t="s">
        <v>143</v>
      </c>
      <c r="E20" t="s">
        <v>144</v>
      </c>
      <c r="F20" t="s">
        <v>218</v>
      </c>
      <c r="G20" t="s">
        <v>219</v>
      </c>
      <c r="H20">
        <f t="shared" ca="1" si="0"/>
        <v>8822600990</v>
      </c>
      <c r="I20" t="s">
        <v>147</v>
      </c>
      <c r="J20">
        <v>24</v>
      </c>
    </row>
    <row r="21" spans="1:10" x14ac:dyDescent="0.3">
      <c r="A21" t="s">
        <v>220</v>
      </c>
      <c r="B21" t="s">
        <v>221</v>
      </c>
      <c r="C21" t="s">
        <v>16</v>
      </c>
      <c r="D21" t="s">
        <v>137</v>
      </c>
      <c r="E21" t="s">
        <v>138</v>
      </c>
      <c r="F21" t="s">
        <v>222</v>
      </c>
      <c r="G21" t="s">
        <v>223</v>
      </c>
      <c r="H21">
        <f t="shared" ca="1" si="0"/>
        <v>8341031123</v>
      </c>
      <c r="I21" t="s">
        <v>224</v>
      </c>
      <c r="J21">
        <v>25</v>
      </c>
    </row>
    <row r="22" spans="1:10" x14ac:dyDescent="0.3">
      <c r="A22" t="s">
        <v>225</v>
      </c>
      <c r="B22" t="s">
        <v>226</v>
      </c>
      <c r="C22" t="s">
        <v>43</v>
      </c>
      <c r="D22" t="s">
        <v>143</v>
      </c>
      <c r="E22" t="s">
        <v>144</v>
      </c>
      <c r="F22" t="s">
        <v>227</v>
      </c>
      <c r="G22" t="s">
        <v>228</v>
      </c>
      <c r="H22">
        <f t="shared" ca="1" si="0"/>
        <v>6648402984</v>
      </c>
      <c r="I22" t="s">
        <v>152</v>
      </c>
      <c r="J22">
        <v>26</v>
      </c>
    </row>
    <row r="23" spans="1:10" x14ac:dyDescent="0.3">
      <c r="A23" t="s">
        <v>229</v>
      </c>
      <c r="B23" t="s">
        <v>230</v>
      </c>
      <c r="C23" t="s">
        <v>67</v>
      </c>
      <c r="D23" t="s">
        <v>155</v>
      </c>
      <c r="E23" t="s">
        <v>144</v>
      </c>
      <c r="F23" t="s">
        <v>231</v>
      </c>
      <c r="G23" t="s">
        <v>232</v>
      </c>
      <c r="H23">
        <f t="shared" ca="1" si="0"/>
        <v>8276362924</v>
      </c>
      <c r="I23" t="s">
        <v>233</v>
      </c>
      <c r="J23">
        <v>27</v>
      </c>
    </row>
    <row r="24" spans="1:10" x14ac:dyDescent="0.3">
      <c r="A24" t="s">
        <v>234</v>
      </c>
      <c r="B24" t="s">
        <v>235</v>
      </c>
      <c r="C24" t="s">
        <v>43</v>
      </c>
      <c r="D24" t="s">
        <v>137</v>
      </c>
      <c r="E24" t="s">
        <v>138</v>
      </c>
      <c r="F24" t="s">
        <v>236</v>
      </c>
      <c r="G24" t="s">
        <v>237</v>
      </c>
      <c r="H24">
        <f t="shared" ca="1" si="0"/>
        <v>7147035156</v>
      </c>
      <c r="I24" t="s">
        <v>140</v>
      </c>
      <c r="J24">
        <v>28</v>
      </c>
    </row>
    <row r="25" spans="1:10" x14ac:dyDescent="0.3">
      <c r="A25" t="s">
        <v>238</v>
      </c>
      <c r="B25" t="s">
        <v>239</v>
      </c>
      <c r="C25" t="s">
        <v>67</v>
      </c>
      <c r="D25" t="s">
        <v>143</v>
      </c>
      <c r="E25" t="s">
        <v>144</v>
      </c>
      <c r="F25" t="s">
        <v>240</v>
      </c>
      <c r="G25" t="s">
        <v>241</v>
      </c>
      <c r="H25">
        <f t="shared" ca="1" si="0"/>
        <v>7361404712</v>
      </c>
      <c r="I25" t="s">
        <v>147</v>
      </c>
      <c r="J25">
        <v>29</v>
      </c>
    </row>
    <row r="26" spans="1:10" x14ac:dyDescent="0.3">
      <c r="A26" t="s">
        <v>242</v>
      </c>
      <c r="B26" t="s">
        <v>243</v>
      </c>
      <c r="C26" t="s">
        <v>194</v>
      </c>
      <c r="D26" t="s">
        <v>143</v>
      </c>
      <c r="E26" t="s">
        <v>144</v>
      </c>
      <c r="F26" t="s">
        <v>244</v>
      </c>
      <c r="G26" t="s">
        <v>245</v>
      </c>
      <c r="H26">
        <f t="shared" ca="1" si="0"/>
        <v>8502413027</v>
      </c>
      <c r="I26" t="s">
        <v>233</v>
      </c>
      <c r="J26">
        <v>30</v>
      </c>
    </row>
    <row r="27" spans="1:10" x14ac:dyDescent="0.3">
      <c r="A27" t="s">
        <v>246</v>
      </c>
      <c r="B27" t="s">
        <v>247</v>
      </c>
      <c r="C27" t="s">
        <v>67</v>
      </c>
      <c r="D27" t="s">
        <v>155</v>
      </c>
      <c r="E27" t="s">
        <v>144</v>
      </c>
      <c r="F27" t="s">
        <v>248</v>
      </c>
      <c r="G27" t="s">
        <v>249</v>
      </c>
      <c r="H27">
        <f t="shared" ca="1" si="0"/>
        <v>6823367406</v>
      </c>
      <c r="I27" t="s">
        <v>163</v>
      </c>
      <c r="J27">
        <v>31</v>
      </c>
    </row>
    <row r="28" spans="1:10" x14ac:dyDescent="0.3">
      <c r="A28" t="s">
        <v>250</v>
      </c>
      <c r="B28" t="s">
        <v>251</v>
      </c>
      <c r="C28" t="s">
        <v>43</v>
      </c>
      <c r="D28" t="s">
        <v>137</v>
      </c>
      <c r="E28" t="s">
        <v>138</v>
      </c>
      <c r="F28" t="s">
        <v>252</v>
      </c>
      <c r="G28" t="s">
        <v>253</v>
      </c>
      <c r="H28">
        <f t="shared" ca="1" si="0"/>
        <v>7552648233</v>
      </c>
      <c r="I28" t="s">
        <v>158</v>
      </c>
      <c r="J28">
        <v>32</v>
      </c>
    </row>
    <row r="29" spans="1:10" x14ac:dyDescent="0.3">
      <c r="A29" t="s">
        <v>254</v>
      </c>
      <c r="B29" t="s">
        <v>255</v>
      </c>
      <c r="C29" t="s">
        <v>43</v>
      </c>
      <c r="D29" t="s">
        <v>155</v>
      </c>
      <c r="E29" t="s">
        <v>144</v>
      </c>
      <c r="F29" t="s">
        <v>256</v>
      </c>
      <c r="G29" t="s">
        <v>257</v>
      </c>
      <c r="H29">
        <f t="shared" ca="1" si="0"/>
        <v>9130500659</v>
      </c>
      <c r="I29" t="s">
        <v>140</v>
      </c>
      <c r="J29">
        <v>33</v>
      </c>
    </row>
    <row r="30" spans="1:10" x14ac:dyDescent="0.3">
      <c r="A30" t="s">
        <v>258</v>
      </c>
      <c r="B30" t="s">
        <v>259</v>
      </c>
      <c r="C30" t="s">
        <v>43</v>
      </c>
      <c r="D30" t="s">
        <v>143</v>
      </c>
      <c r="E30" t="s">
        <v>144</v>
      </c>
      <c r="F30" t="s">
        <v>260</v>
      </c>
      <c r="G30" t="s">
        <v>261</v>
      </c>
      <c r="H30">
        <f t="shared" ca="1" si="0"/>
        <v>8461316666</v>
      </c>
      <c r="I30" t="s">
        <v>233</v>
      </c>
      <c r="J30">
        <v>34</v>
      </c>
    </row>
    <row r="31" spans="1:10" x14ac:dyDescent="0.3">
      <c r="A31" t="s">
        <v>262</v>
      </c>
      <c r="B31" t="s">
        <v>263</v>
      </c>
      <c r="C31" t="s">
        <v>67</v>
      </c>
      <c r="D31" t="s">
        <v>155</v>
      </c>
      <c r="E31" t="s">
        <v>144</v>
      </c>
      <c r="F31" t="s">
        <v>264</v>
      </c>
      <c r="G31" t="s">
        <v>265</v>
      </c>
      <c r="H31">
        <f t="shared" ca="1" si="0"/>
        <v>7298276648</v>
      </c>
      <c r="I31" t="s">
        <v>152</v>
      </c>
      <c r="J31">
        <v>35</v>
      </c>
    </row>
    <row r="32" spans="1:10" x14ac:dyDescent="0.3">
      <c r="A32" t="s">
        <v>266</v>
      </c>
      <c r="B32" t="s">
        <v>267</v>
      </c>
      <c r="C32" t="s">
        <v>43</v>
      </c>
      <c r="D32" t="s">
        <v>137</v>
      </c>
      <c r="E32" t="s">
        <v>138</v>
      </c>
      <c r="F32" t="s">
        <v>268</v>
      </c>
      <c r="G32" t="s">
        <v>269</v>
      </c>
      <c r="H32">
        <f t="shared" ca="1" si="0"/>
        <v>7600115174</v>
      </c>
      <c r="I32" t="s">
        <v>158</v>
      </c>
      <c r="J32">
        <v>36</v>
      </c>
    </row>
    <row r="33" spans="1:10" x14ac:dyDescent="0.3">
      <c r="A33" t="s">
        <v>270</v>
      </c>
      <c r="B33" t="s">
        <v>271</v>
      </c>
      <c r="C33" t="s">
        <v>10</v>
      </c>
      <c r="D33" t="s">
        <v>143</v>
      </c>
      <c r="E33" t="s">
        <v>144</v>
      </c>
      <c r="F33" t="s">
        <v>272</v>
      </c>
      <c r="G33" t="s">
        <v>273</v>
      </c>
      <c r="H33">
        <f t="shared" ca="1" si="0"/>
        <v>8062144838</v>
      </c>
      <c r="I33" t="s">
        <v>163</v>
      </c>
      <c r="J33">
        <v>37</v>
      </c>
    </row>
    <row r="34" spans="1:10" x14ac:dyDescent="0.3">
      <c r="A34" t="s">
        <v>274</v>
      </c>
      <c r="B34" t="s">
        <v>275</v>
      </c>
      <c r="C34" t="s">
        <v>43</v>
      </c>
      <c r="D34" t="s">
        <v>155</v>
      </c>
      <c r="E34" t="s">
        <v>144</v>
      </c>
      <c r="F34" t="s">
        <v>276</v>
      </c>
      <c r="G34" t="s">
        <v>277</v>
      </c>
      <c r="H34">
        <f t="shared" ca="1" si="0"/>
        <v>8629870792</v>
      </c>
      <c r="I34" t="s">
        <v>140</v>
      </c>
      <c r="J34">
        <v>38</v>
      </c>
    </row>
    <row r="35" spans="1:10" x14ac:dyDescent="0.3">
      <c r="A35" t="s">
        <v>278</v>
      </c>
      <c r="B35" t="s">
        <v>279</v>
      </c>
      <c r="C35" t="s">
        <v>67</v>
      </c>
      <c r="D35" t="s">
        <v>155</v>
      </c>
      <c r="E35" t="s">
        <v>144</v>
      </c>
      <c r="F35" t="s">
        <v>280</v>
      </c>
      <c r="G35" t="s">
        <v>281</v>
      </c>
      <c r="H35">
        <f t="shared" ca="1" si="0"/>
        <v>9423678984</v>
      </c>
      <c r="I35" t="s">
        <v>158</v>
      </c>
      <c r="J35">
        <v>39</v>
      </c>
    </row>
    <row r="36" spans="1:10" x14ac:dyDescent="0.3">
      <c r="A36" t="s">
        <v>282</v>
      </c>
      <c r="B36" t="s">
        <v>283</v>
      </c>
      <c r="C36" t="s">
        <v>10</v>
      </c>
      <c r="D36" t="s">
        <v>137</v>
      </c>
      <c r="E36" t="s">
        <v>138</v>
      </c>
      <c r="F36" t="s">
        <v>284</v>
      </c>
      <c r="G36" t="s">
        <v>285</v>
      </c>
      <c r="H36">
        <f t="shared" ca="1" si="0"/>
        <v>6633775088</v>
      </c>
      <c r="I36" t="s">
        <v>233</v>
      </c>
      <c r="J36">
        <v>40</v>
      </c>
    </row>
    <row r="37" spans="1:10" x14ac:dyDescent="0.3">
      <c r="A37" t="s">
        <v>286</v>
      </c>
      <c r="B37" t="s">
        <v>287</v>
      </c>
      <c r="C37" t="s">
        <v>10</v>
      </c>
      <c r="D37" t="s">
        <v>137</v>
      </c>
      <c r="E37" t="s">
        <v>144</v>
      </c>
      <c r="F37" t="s">
        <v>288</v>
      </c>
      <c r="G37" t="s">
        <v>289</v>
      </c>
      <c r="H37">
        <f t="shared" ca="1" si="0"/>
        <v>9918237411</v>
      </c>
      <c r="I37" t="s">
        <v>147</v>
      </c>
      <c r="J37">
        <v>41</v>
      </c>
    </row>
    <row r="38" spans="1:10" x14ac:dyDescent="0.3">
      <c r="A38" t="s">
        <v>290</v>
      </c>
      <c r="B38" t="s">
        <v>291</v>
      </c>
      <c r="C38" t="s">
        <v>29</v>
      </c>
      <c r="D38" t="s">
        <v>137</v>
      </c>
      <c r="E38" t="s">
        <v>138</v>
      </c>
      <c r="F38" t="s">
        <v>292</v>
      </c>
      <c r="G38" t="s">
        <v>293</v>
      </c>
      <c r="H38">
        <f t="shared" ca="1" si="0"/>
        <v>9963966244</v>
      </c>
      <c r="I38" t="s">
        <v>152</v>
      </c>
      <c r="J38">
        <v>42</v>
      </c>
    </row>
    <row r="39" spans="1:10" x14ac:dyDescent="0.3">
      <c r="A39" t="s">
        <v>294</v>
      </c>
      <c r="B39" t="s">
        <v>295</v>
      </c>
      <c r="C39" t="s">
        <v>29</v>
      </c>
      <c r="D39" t="s">
        <v>143</v>
      </c>
      <c r="E39" t="s">
        <v>144</v>
      </c>
      <c r="F39" t="s">
        <v>296</v>
      </c>
      <c r="G39" t="s">
        <v>297</v>
      </c>
      <c r="H39">
        <f t="shared" ca="1" si="0"/>
        <v>6630909889</v>
      </c>
      <c r="I39" t="s">
        <v>140</v>
      </c>
      <c r="J39">
        <v>43</v>
      </c>
    </row>
    <row r="40" spans="1:10" x14ac:dyDescent="0.3">
      <c r="A40" t="s">
        <v>298</v>
      </c>
      <c r="B40" t="s">
        <v>299</v>
      </c>
      <c r="C40" t="s">
        <v>67</v>
      </c>
      <c r="D40" t="s">
        <v>143</v>
      </c>
      <c r="E40" t="s">
        <v>144</v>
      </c>
      <c r="F40" t="s">
        <v>300</v>
      </c>
      <c r="G40" t="s">
        <v>301</v>
      </c>
      <c r="H40">
        <f t="shared" ca="1" si="0"/>
        <v>9705783901</v>
      </c>
      <c r="I40" t="s">
        <v>158</v>
      </c>
      <c r="J40">
        <v>44</v>
      </c>
    </row>
    <row r="41" spans="1:10" x14ac:dyDescent="0.3">
      <c r="A41" t="s">
        <v>302</v>
      </c>
      <c r="B41" t="s">
        <v>303</v>
      </c>
      <c r="C41" t="s">
        <v>16</v>
      </c>
      <c r="D41" t="s">
        <v>155</v>
      </c>
      <c r="E41" t="s">
        <v>144</v>
      </c>
      <c r="F41" t="s">
        <v>304</v>
      </c>
      <c r="G41" t="s">
        <v>305</v>
      </c>
      <c r="H41">
        <f t="shared" ca="1" si="0"/>
        <v>6841154947</v>
      </c>
      <c r="I41" t="s">
        <v>147</v>
      </c>
      <c r="J41">
        <v>45</v>
      </c>
    </row>
    <row r="42" spans="1:10" x14ac:dyDescent="0.3">
      <c r="A42" t="s">
        <v>306</v>
      </c>
      <c r="B42" t="s">
        <v>307</v>
      </c>
      <c r="C42" t="s">
        <v>43</v>
      </c>
      <c r="D42" t="s">
        <v>155</v>
      </c>
      <c r="E42" t="s">
        <v>144</v>
      </c>
      <c r="F42" t="s">
        <v>308</v>
      </c>
      <c r="G42" t="s">
        <v>309</v>
      </c>
      <c r="H42">
        <f t="shared" ca="1" si="0"/>
        <v>6106325739</v>
      </c>
      <c r="I42" t="s">
        <v>140</v>
      </c>
      <c r="J42">
        <v>46</v>
      </c>
    </row>
    <row r="43" spans="1:10" x14ac:dyDescent="0.3">
      <c r="A43" t="s">
        <v>310</v>
      </c>
      <c r="B43" t="s">
        <v>311</v>
      </c>
      <c r="C43" t="s">
        <v>10</v>
      </c>
      <c r="D43" t="s">
        <v>143</v>
      </c>
      <c r="E43" t="s">
        <v>144</v>
      </c>
      <c r="F43" t="s">
        <v>312</v>
      </c>
      <c r="G43" t="s">
        <v>313</v>
      </c>
      <c r="H43">
        <f t="shared" ca="1" si="0"/>
        <v>7358356182</v>
      </c>
      <c r="I43" t="s">
        <v>158</v>
      </c>
      <c r="J43">
        <v>47</v>
      </c>
    </row>
    <row r="44" spans="1:10" x14ac:dyDescent="0.3">
      <c r="A44" t="s">
        <v>314</v>
      </c>
      <c r="B44" t="s">
        <v>315</v>
      </c>
      <c r="C44" t="s">
        <v>316</v>
      </c>
      <c r="D44" t="s">
        <v>137</v>
      </c>
      <c r="E44" t="s">
        <v>144</v>
      </c>
      <c r="F44" t="s">
        <v>317</v>
      </c>
      <c r="G44" t="s">
        <v>318</v>
      </c>
      <c r="H44">
        <f t="shared" ca="1" si="0"/>
        <v>8360503413</v>
      </c>
      <c r="I44" t="s">
        <v>233</v>
      </c>
      <c r="J44">
        <v>48</v>
      </c>
    </row>
    <row r="45" spans="1:10" x14ac:dyDescent="0.3">
      <c r="A45" t="s">
        <v>319</v>
      </c>
      <c r="B45" t="s">
        <v>320</v>
      </c>
      <c r="C45" t="s">
        <v>321</v>
      </c>
      <c r="D45" t="s">
        <v>137</v>
      </c>
      <c r="E45" t="s">
        <v>138</v>
      </c>
      <c r="F45" t="s">
        <v>322</v>
      </c>
      <c r="G45" t="s">
        <v>323</v>
      </c>
      <c r="H45">
        <f t="shared" ca="1" si="0"/>
        <v>9115260310</v>
      </c>
      <c r="I45" t="s">
        <v>152</v>
      </c>
      <c r="J45">
        <v>49</v>
      </c>
    </row>
    <row r="46" spans="1:10" x14ac:dyDescent="0.3">
      <c r="A46" t="s">
        <v>324</v>
      </c>
      <c r="B46" t="s">
        <v>325</v>
      </c>
      <c r="C46" t="s">
        <v>67</v>
      </c>
      <c r="D46" t="s">
        <v>143</v>
      </c>
      <c r="E46" t="s">
        <v>144</v>
      </c>
      <c r="F46" t="s">
        <v>326</v>
      </c>
      <c r="G46" t="s">
        <v>327</v>
      </c>
      <c r="H46">
        <f t="shared" ca="1" si="0"/>
        <v>7953974826</v>
      </c>
      <c r="I46" t="s">
        <v>158</v>
      </c>
      <c r="J46">
        <v>50</v>
      </c>
    </row>
    <row r="47" spans="1:10" x14ac:dyDescent="0.3">
      <c r="A47" t="s">
        <v>328</v>
      </c>
      <c r="B47" t="s">
        <v>329</v>
      </c>
      <c r="C47" t="s">
        <v>316</v>
      </c>
      <c r="D47" t="s">
        <v>137</v>
      </c>
      <c r="E47" t="s">
        <v>138</v>
      </c>
      <c r="F47" t="s">
        <v>330</v>
      </c>
      <c r="G47" t="s">
        <v>331</v>
      </c>
      <c r="H47">
        <f t="shared" ca="1" si="0"/>
        <v>6360014789</v>
      </c>
      <c r="I47" t="s">
        <v>233</v>
      </c>
      <c r="J47">
        <v>51</v>
      </c>
    </row>
    <row r="48" spans="1:10" x14ac:dyDescent="0.3">
      <c r="A48" t="s">
        <v>332</v>
      </c>
      <c r="B48" t="s">
        <v>333</v>
      </c>
      <c r="C48" t="s">
        <v>29</v>
      </c>
      <c r="D48" t="s">
        <v>143</v>
      </c>
      <c r="E48" t="s">
        <v>144</v>
      </c>
      <c r="F48" t="s">
        <v>334</v>
      </c>
      <c r="G48" t="s">
        <v>335</v>
      </c>
      <c r="H48">
        <f t="shared" ca="1" si="0"/>
        <v>9905365404</v>
      </c>
      <c r="I48" t="s">
        <v>140</v>
      </c>
      <c r="J48">
        <v>52</v>
      </c>
    </row>
    <row r="49" spans="1:10" x14ac:dyDescent="0.3">
      <c r="A49" t="s">
        <v>336</v>
      </c>
      <c r="B49" t="s">
        <v>337</v>
      </c>
      <c r="C49" t="s">
        <v>10</v>
      </c>
      <c r="D49" t="s">
        <v>143</v>
      </c>
      <c r="E49" t="s">
        <v>144</v>
      </c>
      <c r="F49" t="s">
        <v>338</v>
      </c>
      <c r="G49" t="s">
        <v>339</v>
      </c>
      <c r="H49">
        <f t="shared" ca="1" si="0"/>
        <v>6870350107</v>
      </c>
      <c r="I49" t="s">
        <v>152</v>
      </c>
      <c r="J49">
        <v>53</v>
      </c>
    </row>
    <row r="50" spans="1:10" x14ac:dyDescent="0.3">
      <c r="A50" t="s">
        <v>340</v>
      </c>
      <c r="B50" t="s">
        <v>341</v>
      </c>
      <c r="C50" t="s">
        <v>43</v>
      </c>
      <c r="D50" t="s">
        <v>143</v>
      </c>
      <c r="E50" t="s">
        <v>144</v>
      </c>
      <c r="F50" t="s">
        <v>342</v>
      </c>
      <c r="G50" t="s">
        <v>343</v>
      </c>
      <c r="H50">
        <f t="shared" ca="1" si="0"/>
        <v>9337550778</v>
      </c>
      <c r="I50" t="s">
        <v>140</v>
      </c>
      <c r="J50">
        <v>54</v>
      </c>
    </row>
    <row r="51" spans="1:10" x14ac:dyDescent="0.3">
      <c r="A51" t="s">
        <v>344</v>
      </c>
      <c r="B51" t="s">
        <v>345</v>
      </c>
      <c r="C51" t="s">
        <v>316</v>
      </c>
      <c r="D51" t="s">
        <v>155</v>
      </c>
      <c r="E51" t="s">
        <v>144</v>
      </c>
      <c r="F51" t="s">
        <v>346</v>
      </c>
      <c r="G51" t="s">
        <v>347</v>
      </c>
      <c r="H51">
        <f t="shared" ca="1" si="0"/>
        <v>8396399490</v>
      </c>
      <c r="I51" t="s">
        <v>147</v>
      </c>
      <c r="J51">
        <v>55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D1F06-48EA-4A86-B353-327080B9842B}">
  <sheetPr codeName="Sheet3"/>
  <dimension ref="A1:H37"/>
  <sheetViews>
    <sheetView workbookViewId="0">
      <selection activeCell="E12" sqref="E12"/>
    </sheetView>
  </sheetViews>
  <sheetFormatPr defaultRowHeight="14.4" x14ac:dyDescent="0.3"/>
  <cols>
    <col min="1" max="1" width="21.44140625" bestFit="1" customWidth="1"/>
    <col min="2" max="2" width="26.33203125" bestFit="1" customWidth="1"/>
    <col min="3" max="3" width="13.109375" bestFit="1" customWidth="1"/>
    <col min="4" max="4" width="12" bestFit="1" customWidth="1"/>
    <col min="5" max="5" width="18.5546875" bestFit="1" customWidth="1"/>
    <col min="6" max="6" width="21.6640625" bestFit="1" customWidth="1"/>
    <col min="7" max="7" width="9" bestFit="1" customWidth="1"/>
    <col min="8" max="8" width="15.664062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 s="1" t="s">
        <v>8</v>
      </c>
      <c r="B2" s="1" t="s">
        <v>9</v>
      </c>
      <c r="C2" s="1" t="s">
        <v>10</v>
      </c>
      <c r="D2">
        <v>6281883544</v>
      </c>
      <c r="E2" s="1" t="s">
        <v>11</v>
      </c>
      <c r="F2" s="2" t="s">
        <v>12</v>
      </c>
      <c r="G2" s="1" t="s">
        <v>13</v>
      </c>
      <c r="H2">
        <v>1</v>
      </c>
    </row>
    <row r="3" spans="1:8" x14ac:dyDescent="0.3">
      <c r="A3" s="1" t="s">
        <v>14</v>
      </c>
      <c r="B3" s="1" t="s">
        <v>15</v>
      </c>
      <c r="C3" s="1" t="s">
        <v>16</v>
      </c>
      <c r="D3">
        <v>8309638209</v>
      </c>
      <c r="E3" s="1" t="s">
        <v>11</v>
      </c>
      <c r="F3" s="2" t="s">
        <v>17</v>
      </c>
      <c r="G3" s="1" t="s">
        <v>18</v>
      </c>
      <c r="H3">
        <v>2</v>
      </c>
    </row>
    <row r="4" spans="1:8" x14ac:dyDescent="0.3">
      <c r="A4" s="1" t="s">
        <v>19</v>
      </c>
      <c r="B4" s="1" t="s">
        <v>20</v>
      </c>
      <c r="C4" s="1" t="s">
        <v>10</v>
      </c>
      <c r="D4">
        <v>8294912279</v>
      </c>
      <c r="E4" s="1" t="s">
        <v>21</v>
      </c>
      <c r="F4" s="2" t="s">
        <v>22</v>
      </c>
      <c r="G4" s="1" t="s">
        <v>23</v>
      </c>
      <c r="H4">
        <v>1</v>
      </c>
    </row>
    <row r="5" spans="1:8" x14ac:dyDescent="0.3">
      <c r="A5" s="1" t="s">
        <v>24</v>
      </c>
      <c r="B5" s="1" t="s">
        <v>25</v>
      </c>
      <c r="C5" s="1" t="s">
        <v>16</v>
      </c>
      <c r="D5">
        <v>9959336743</v>
      </c>
      <c r="E5" s="1" t="s">
        <v>26</v>
      </c>
      <c r="F5" s="2" t="s">
        <v>17</v>
      </c>
      <c r="G5" s="1" t="s">
        <v>13</v>
      </c>
      <c r="H5">
        <v>3</v>
      </c>
    </row>
    <row r="6" spans="1:8" x14ac:dyDescent="0.3">
      <c r="A6" s="1" t="s">
        <v>27</v>
      </c>
      <c r="B6" s="1" t="s">
        <v>28</v>
      </c>
      <c r="C6" s="1" t="s">
        <v>29</v>
      </c>
      <c r="D6">
        <v>628102919</v>
      </c>
      <c r="E6" s="1" t="s">
        <v>21</v>
      </c>
      <c r="F6" s="2" t="s">
        <v>30</v>
      </c>
      <c r="G6" s="1" t="s">
        <v>31</v>
      </c>
      <c r="H6">
        <v>2</v>
      </c>
    </row>
    <row r="7" spans="1:8" x14ac:dyDescent="0.3">
      <c r="A7" s="1" t="s">
        <v>32</v>
      </c>
      <c r="B7" s="1" t="s">
        <v>33</v>
      </c>
      <c r="C7" s="1" t="s">
        <v>10</v>
      </c>
      <c r="D7">
        <v>75858759757</v>
      </c>
      <c r="E7" s="1" t="s">
        <v>21</v>
      </c>
      <c r="F7" s="2" t="s">
        <v>17</v>
      </c>
      <c r="G7" s="1" t="s">
        <v>34</v>
      </c>
      <c r="H7">
        <v>2</v>
      </c>
    </row>
    <row r="8" spans="1:8" x14ac:dyDescent="0.3">
      <c r="A8" s="1" t="s">
        <v>35</v>
      </c>
      <c r="B8" s="1" t="s">
        <v>36</v>
      </c>
      <c r="C8" s="1" t="s">
        <v>10</v>
      </c>
      <c r="D8">
        <v>8921092190</v>
      </c>
      <c r="E8" s="1" t="s">
        <v>11</v>
      </c>
      <c r="F8" s="2" t="s">
        <v>37</v>
      </c>
      <c r="G8" s="1" t="s">
        <v>18</v>
      </c>
      <c r="H8">
        <v>1</v>
      </c>
    </row>
    <row r="9" spans="1:8" x14ac:dyDescent="0.3">
      <c r="A9" s="1" t="s">
        <v>38</v>
      </c>
      <c r="B9" s="1" t="s">
        <v>39</v>
      </c>
      <c r="C9" s="1" t="s">
        <v>16</v>
      </c>
      <c r="D9">
        <v>7821818129</v>
      </c>
      <c r="E9" s="1" t="s">
        <v>26</v>
      </c>
      <c r="F9" s="2" t="s">
        <v>40</v>
      </c>
      <c r="G9" s="1" t="s">
        <v>34</v>
      </c>
      <c r="H9">
        <v>2</v>
      </c>
    </row>
    <row r="10" spans="1:8" x14ac:dyDescent="0.3">
      <c r="A10" s="1" t="s">
        <v>41</v>
      </c>
      <c r="B10" s="1" t="s">
        <v>42</v>
      </c>
      <c r="C10" s="1" t="s">
        <v>43</v>
      </c>
      <c r="D10">
        <v>847923823</v>
      </c>
      <c r="E10" s="1" t="s">
        <v>11</v>
      </c>
      <c r="F10" s="2" t="s">
        <v>44</v>
      </c>
      <c r="G10" s="1" t="s">
        <v>18</v>
      </c>
      <c r="H10">
        <v>3</v>
      </c>
    </row>
    <row r="11" spans="1:8" x14ac:dyDescent="0.3">
      <c r="A11" s="1" t="s">
        <v>45</v>
      </c>
      <c r="B11" s="1" t="s">
        <v>46</v>
      </c>
      <c r="C11" s="1" t="s">
        <v>10</v>
      </c>
      <c r="D11">
        <v>8432823298</v>
      </c>
      <c r="E11" s="1" t="s">
        <v>11</v>
      </c>
      <c r="F11" s="2" t="s">
        <v>47</v>
      </c>
      <c r="G11" s="1" t="s">
        <v>18</v>
      </c>
      <c r="H11">
        <v>4</v>
      </c>
    </row>
    <row r="12" spans="1:8" x14ac:dyDescent="0.3">
      <c r="A12" s="1" t="s">
        <v>48</v>
      </c>
      <c r="B12" s="1" t="s">
        <v>49</v>
      </c>
      <c r="C12" s="1" t="s">
        <v>16</v>
      </c>
      <c r="D12">
        <v>8473828932</v>
      </c>
      <c r="E12" s="1" t="s">
        <v>50</v>
      </c>
      <c r="F12" s="2" t="s">
        <v>51</v>
      </c>
      <c r="G12" s="1" t="s">
        <v>13</v>
      </c>
      <c r="H12">
        <v>3</v>
      </c>
    </row>
    <row r="13" spans="1:8" x14ac:dyDescent="0.3">
      <c r="A13" s="1" t="s">
        <v>52</v>
      </c>
      <c r="B13" s="1" t="s">
        <v>53</v>
      </c>
      <c r="C13" s="1" t="s">
        <v>10</v>
      </c>
      <c r="D13">
        <v>8428282898</v>
      </c>
      <c r="E13" s="1" t="s">
        <v>54</v>
      </c>
      <c r="F13" s="2" t="s">
        <v>55</v>
      </c>
      <c r="G13" s="1" t="s">
        <v>31</v>
      </c>
      <c r="H13">
        <v>2</v>
      </c>
    </row>
    <row r="14" spans="1:8" x14ac:dyDescent="0.3">
      <c r="A14" s="1" t="s">
        <v>56</v>
      </c>
      <c r="B14" s="1" t="s">
        <v>57</v>
      </c>
      <c r="C14" s="1" t="s">
        <v>10</v>
      </c>
      <c r="D14">
        <v>689543829</v>
      </c>
      <c r="E14" s="1" t="s">
        <v>54</v>
      </c>
      <c r="F14" s="2" t="s">
        <v>58</v>
      </c>
      <c r="G14" s="1" t="s">
        <v>23</v>
      </c>
      <c r="H14">
        <v>1</v>
      </c>
    </row>
    <row r="15" spans="1:8" x14ac:dyDescent="0.3">
      <c r="A15" s="1" t="s">
        <v>59</v>
      </c>
      <c r="B15" s="1" t="s">
        <v>60</v>
      </c>
      <c r="C15" s="1" t="s">
        <v>43</v>
      </c>
      <c r="D15">
        <v>6459034202</v>
      </c>
      <c r="E15" s="1" t="s">
        <v>21</v>
      </c>
      <c r="F15" s="2" t="s">
        <v>61</v>
      </c>
      <c r="G15" s="1" t="s">
        <v>34</v>
      </c>
      <c r="H15">
        <v>2</v>
      </c>
    </row>
    <row r="16" spans="1:8" x14ac:dyDescent="0.3">
      <c r="A16" s="1" t="s">
        <v>62</v>
      </c>
      <c r="B16" s="1" t="s">
        <v>63</v>
      </c>
      <c r="C16" s="1" t="s">
        <v>43</v>
      </c>
      <c r="D16">
        <v>6986453323</v>
      </c>
      <c r="E16" s="1" t="s">
        <v>50</v>
      </c>
      <c r="F16" s="2" t="s">
        <v>64</v>
      </c>
      <c r="G16" s="1" t="s">
        <v>31</v>
      </c>
      <c r="H16">
        <v>1</v>
      </c>
    </row>
    <row r="17" spans="1:8" x14ac:dyDescent="0.3">
      <c r="A17" s="1" t="s">
        <v>65</v>
      </c>
      <c r="B17" s="1" t="s">
        <v>66</v>
      </c>
      <c r="C17" s="1" t="s">
        <v>67</v>
      </c>
      <c r="D17">
        <v>6856433002</v>
      </c>
      <c r="E17" s="1" t="s">
        <v>50</v>
      </c>
      <c r="F17" s="2" t="s">
        <v>68</v>
      </c>
      <c r="G17" s="1" t="s">
        <v>13</v>
      </c>
      <c r="H17">
        <v>3</v>
      </c>
    </row>
    <row r="18" spans="1:8" x14ac:dyDescent="0.3">
      <c r="A18" s="1" t="s">
        <v>69</v>
      </c>
      <c r="B18" s="1" t="s">
        <v>70</v>
      </c>
      <c r="C18" s="1" t="s">
        <v>16</v>
      </c>
      <c r="D18">
        <v>690494040</v>
      </c>
      <c r="E18" s="1" t="s">
        <v>50</v>
      </c>
      <c r="F18" s="2" t="s">
        <v>68</v>
      </c>
      <c r="G18" s="1" t="s">
        <v>18</v>
      </c>
      <c r="H18">
        <v>3</v>
      </c>
    </row>
    <row r="19" spans="1:8" x14ac:dyDescent="0.3">
      <c r="A19" s="1" t="s">
        <v>71</v>
      </c>
      <c r="B19" s="1" t="s">
        <v>72</v>
      </c>
      <c r="C19" s="1" t="s">
        <v>10</v>
      </c>
      <c r="D19">
        <v>7956056499</v>
      </c>
      <c r="E19" s="1" t="s">
        <v>54</v>
      </c>
      <c r="F19" s="2" t="s">
        <v>73</v>
      </c>
      <c r="G19" s="1" t="s">
        <v>13</v>
      </c>
      <c r="H19">
        <v>2</v>
      </c>
    </row>
    <row r="20" spans="1:8" x14ac:dyDescent="0.3">
      <c r="A20" s="1" t="s">
        <v>74</v>
      </c>
      <c r="B20" s="1" t="s">
        <v>75</v>
      </c>
      <c r="C20" s="1" t="s">
        <v>10</v>
      </c>
      <c r="D20">
        <v>7956909644</v>
      </c>
      <c r="E20" s="1" t="s">
        <v>21</v>
      </c>
      <c r="F20" s="2" t="s">
        <v>76</v>
      </c>
      <c r="G20" s="1" t="s">
        <v>18</v>
      </c>
      <c r="H20">
        <v>2</v>
      </c>
    </row>
    <row r="21" spans="1:8" x14ac:dyDescent="0.3">
      <c r="A21" s="1" t="s">
        <v>77</v>
      </c>
      <c r="B21" s="1" t="s">
        <v>78</v>
      </c>
      <c r="C21" s="1" t="s">
        <v>43</v>
      </c>
      <c r="D21">
        <v>7895609404</v>
      </c>
      <c r="E21" s="1" t="s">
        <v>26</v>
      </c>
      <c r="F21" s="2" t="s">
        <v>79</v>
      </c>
      <c r="G21" s="1" t="s">
        <v>34</v>
      </c>
      <c r="H21">
        <v>1</v>
      </c>
    </row>
    <row r="22" spans="1:8" x14ac:dyDescent="0.3">
      <c r="A22" s="1" t="s">
        <v>80</v>
      </c>
      <c r="B22" s="1" t="s">
        <v>81</v>
      </c>
      <c r="C22" s="1" t="s">
        <v>16</v>
      </c>
      <c r="D22">
        <v>7696095960</v>
      </c>
      <c r="E22" s="1" t="s">
        <v>50</v>
      </c>
      <c r="F22" s="2" t="s">
        <v>82</v>
      </c>
      <c r="G22" s="1" t="s">
        <v>18</v>
      </c>
      <c r="H22">
        <v>3</v>
      </c>
    </row>
    <row r="23" spans="1:8" ht="100.8" x14ac:dyDescent="0.3">
      <c r="A23" s="1" t="s">
        <v>83</v>
      </c>
      <c r="B23" s="1" t="s">
        <v>84</v>
      </c>
      <c r="C23" s="1" t="s">
        <v>16</v>
      </c>
      <c r="D23">
        <v>6309559592</v>
      </c>
      <c r="E23" s="1" t="s">
        <v>50</v>
      </c>
      <c r="F23" s="2" t="s">
        <v>85</v>
      </c>
      <c r="G23" s="1" t="s">
        <v>34</v>
      </c>
      <c r="H23">
        <v>2</v>
      </c>
    </row>
    <row r="24" spans="1:8" ht="43.2" x14ac:dyDescent="0.3">
      <c r="A24" s="1" t="s">
        <v>86</v>
      </c>
      <c r="B24" s="1" t="s">
        <v>87</v>
      </c>
      <c r="C24" s="1" t="s">
        <v>10</v>
      </c>
      <c r="D24">
        <v>9834756294</v>
      </c>
      <c r="E24" s="1" t="s">
        <v>54</v>
      </c>
      <c r="F24" s="2" t="s">
        <v>88</v>
      </c>
      <c r="G24" s="1" t="s">
        <v>18</v>
      </c>
      <c r="H24">
        <v>4</v>
      </c>
    </row>
    <row r="25" spans="1:8" ht="28.8" x14ac:dyDescent="0.3">
      <c r="A25" s="1" t="s">
        <v>89</v>
      </c>
      <c r="B25" s="1" t="s">
        <v>90</v>
      </c>
      <c r="C25" s="1" t="s">
        <v>67</v>
      </c>
      <c r="D25">
        <v>9845624565</v>
      </c>
      <c r="E25" s="1" t="s">
        <v>26</v>
      </c>
      <c r="F25" s="2" t="s">
        <v>91</v>
      </c>
      <c r="G25" s="1" t="s">
        <v>13</v>
      </c>
      <c r="H25">
        <v>1</v>
      </c>
    </row>
    <row r="26" spans="1:8" ht="43.2" x14ac:dyDescent="0.3">
      <c r="A26" s="1" t="s">
        <v>92</v>
      </c>
      <c r="B26" s="1" t="s">
        <v>93</v>
      </c>
      <c r="C26" s="1" t="s">
        <v>10</v>
      </c>
      <c r="D26">
        <v>983400234</v>
      </c>
      <c r="E26" s="1" t="s">
        <v>11</v>
      </c>
      <c r="F26" s="2" t="s">
        <v>94</v>
      </c>
      <c r="G26" s="1" t="s">
        <v>23</v>
      </c>
      <c r="H26">
        <v>2</v>
      </c>
    </row>
    <row r="27" spans="1:8" ht="57.6" x14ac:dyDescent="0.3">
      <c r="A27" s="1" t="s">
        <v>95</v>
      </c>
      <c r="B27" s="1" t="s">
        <v>96</v>
      </c>
      <c r="C27" s="1" t="s">
        <v>16</v>
      </c>
      <c r="D27">
        <v>9866447593</v>
      </c>
      <c r="E27" s="1" t="s">
        <v>50</v>
      </c>
      <c r="F27" s="2" t="s">
        <v>97</v>
      </c>
      <c r="G27" s="1" t="s">
        <v>34</v>
      </c>
      <c r="H27">
        <v>1</v>
      </c>
    </row>
    <row r="28" spans="1:8" ht="43.2" x14ac:dyDescent="0.3">
      <c r="A28" s="1" t="s">
        <v>98</v>
      </c>
      <c r="B28" s="1" t="s">
        <v>99</v>
      </c>
      <c r="C28" s="1" t="s">
        <v>10</v>
      </c>
      <c r="D28">
        <v>9877124334</v>
      </c>
      <c r="E28" s="1" t="s">
        <v>11</v>
      </c>
      <c r="F28" s="2" t="s">
        <v>100</v>
      </c>
      <c r="G28" s="1" t="s">
        <v>31</v>
      </c>
      <c r="H28">
        <v>2</v>
      </c>
    </row>
    <row r="29" spans="1:8" ht="28.8" x14ac:dyDescent="0.3">
      <c r="A29" s="1" t="s">
        <v>101</v>
      </c>
      <c r="B29" s="1" t="s">
        <v>102</v>
      </c>
      <c r="C29" s="1" t="s">
        <v>16</v>
      </c>
      <c r="D29">
        <v>9854565220</v>
      </c>
      <c r="E29" s="1" t="s">
        <v>21</v>
      </c>
      <c r="F29" s="2" t="s">
        <v>103</v>
      </c>
      <c r="G29" s="1" t="s">
        <v>18</v>
      </c>
      <c r="H29">
        <v>4</v>
      </c>
    </row>
    <row r="30" spans="1:8" ht="28.8" x14ac:dyDescent="0.3">
      <c r="A30" s="1" t="s">
        <v>104</v>
      </c>
      <c r="B30" s="1" t="s">
        <v>105</v>
      </c>
      <c r="C30" s="1" t="s">
        <v>67</v>
      </c>
      <c r="D30">
        <v>9823358692</v>
      </c>
      <c r="E30" s="1" t="s">
        <v>11</v>
      </c>
      <c r="F30" s="2" t="s">
        <v>106</v>
      </c>
      <c r="G30" s="1" t="s">
        <v>34</v>
      </c>
      <c r="H30">
        <v>2</v>
      </c>
    </row>
    <row r="31" spans="1:8" ht="28.8" x14ac:dyDescent="0.3">
      <c r="A31" s="1" t="s">
        <v>107</v>
      </c>
      <c r="B31" s="1" t="s">
        <v>108</v>
      </c>
      <c r="C31" s="1" t="s">
        <v>10</v>
      </c>
      <c r="D31">
        <v>9876566463</v>
      </c>
      <c r="E31" s="1" t="s">
        <v>50</v>
      </c>
      <c r="F31" s="2" t="s">
        <v>109</v>
      </c>
      <c r="G31" s="1" t="s">
        <v>13</v>
      </c>
      <c r="H31">
        <v>1</v>
      </c>
    </row>
    <row r="32" spans="1:8" ht="43.2" x14ac:dyDescent="0.3">
      <c r="A32" s="1" t="s">
        <v>110</v>
      </c>
      <c r="B32" s="1" t="s">
        <v>111</v>
      </c>
      <c r="C32" s="1" t="s">
        <v>43</v>
      </c>
      <c r="D32">
        <v>9817334623</v>
      </c>
      <c r="E32" s="1" t="s">
        <v>11</v>
      </c>
      <c r="F32" s="2" t="s">
        <v>112</v>
      </c>
      <c r="G32" s="1" t="s">
        <v>23</v>
      </c>
      <c r="H32">
        <v>1</v>
      </c>
    </row>
    <row r="33" spans="1:8" ht="72" x14ac:dyDescent="0.3">
      <c r="A33" s="1" t="s">
        <v>113</v>
      </c>
      <c r="B33" s="1" t="s">
        <v>114</v>
      </c>
      <c r="C33" s="1" t="s">
        <v>43</v>
      </c>
      <c r="D33">
        <v>9843773233</v>
      </c>
      <c r="E33" s="1" t="s">
        <v>11</v>
      </c>
      <c r="F33" s="2" t="s">
        <v>115</v>
      </c>
      <c r="G33" s="1" t="s">
        <v>348</v>
      </c>
      <c r="H33">
        <v>2</v>
      </c>
    </row>
    <row r="34" spans="1:8" ht="43.2" x14ac:dyDescent="0.3">
      <c r="A34" s="1" t="s">
        <v>116</v>
      </c>
      <c r="B34" s="1" t="s">
        <v>117</v>
      </c>
      <c r="C34" s="1" t="s">
        <v>10</v>
      </c>
      <c r="D34">
        <v>9842478901</v>
      </c>
      <c r="E34" s="1" t="s">
        <v>50</v>
      </c>
      <c r="F34" s="2" t="s">
        <v>118</v>
      </c>
      <c r="G34" s="1" t="s">
        <v>13</v>
      </c>
      <c r="H34">
        <v>3</v>
      </c>
    </row>
    <row r="35" spans="1:8" ht="28.8" x14ac:dyDescent="0.3">
      <c r="A35" s="1" t="s">
        <v>119</v>
      </c>
      <c r="B35" s="1" t="s">
        <v>120</v>
      </c>
      <c r="C35" s="1" t="s">
        <v>43</v>
      </c>
      <c r="D35">
        <v>9845573823</v>
      </c>
      <c r="E35" s="1" t="s">
        <v>26</v>
      </c>
      <c r="F35" s="2" t="s">
        <v>121</v>
      </c>
      <c r="G35" s="1" t="s">
        <v>23</v>
      </c>
      <c r="H35">
        <v>2</v>
      </c>
    </row>
    <row r="36" spans="1:8" ht="43.2" x14ac:dyDescent="0.3">
      <c r="A36" s="1" t="s">
        <v>122</v>
      </c>
      <c r="B36" s="1" t="s">
        <v>123</v>
      </c>
      <c r="C36" s="1" t="s">
        <v>43</v>
      </c>
      <c r="D36">
        <v>9871849232</v>
      </c>
      <c r="E36" s="1" t="s">
        <v>50</v>
      </c>
      <c r="F36" s="2" t="s">
        <v>124</v>
      </c>
      <c r="G36" s="1" t="s">
        <v>31</v>
      </c>
      <c r="H36">
        <v>1</v>
      </c>
    </row>
    <row r="37" spans="1:8" ht="43.2" x14ac:dyDescent="0.3">
      <c r="A37" s="1" t="s">
        <v>125</v>
      </c>
      <c r="B37" s="1" t="s">
        <v>126</v>
      </c>
      <c r="C37" s="1" t="s">
        <v>16</v>
      </c>
      <c r="D37">
        <v>32476219912</v>
      </c>
      <c r="E37" s="1" t="s">
        <v>50</v>
      </c>
      <c r="F37" s="2" t="s">
        <v>94</v>
      </c>
      <c r="G37" s="1" t="s">
        <v>34</v>
      </c>
      <c r="H37">
        <v>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BA4828-665D-4E89-9B7F-291F80292B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Sheet6</vt:lpstr>
      <vt:lpstr>BlooodRequests</vt:lpstr>
      <vt:lpstr>Contributers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23MH1A4249</dc:creator>
  <cp:lastModifiedBy>23MH1A4249</cp:lastModifiedBy>
  <dcterms:created xsi:type="dcterms:W3CDTF">2025-07-31T18:38:13Z</dcterms:created>
  <dcterms:modified xsi:type="dcterms:W3CDTF">2025-11-13T10:26:39Z</dcterms:modified>
</cp:coreProperties>
</file>